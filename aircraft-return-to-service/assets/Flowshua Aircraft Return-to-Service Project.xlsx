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joshualakes/Desktop/FLOWSHUA/"/>
    </mc:Choice>
  </mc:AlternateContent>
  <xr:revisionPtr revIDLastSave="0" documentId="8_{66CE3BE8-301B-CD4D-A68C-A8FA41D65C15}" xr6:coauthVersionLast="47" xr6:coauthVersionMax="47" xr10:uidLastSave="{00000000-0000-0000-0000-000000000000}"/>
  <bookViews>
    <workbookView xWindow="34480" yWindow="2780" windowWidth="34200" windowHeight="21480" activeTab="6" xr2:uid="{00000000-000D-0000-FFFF-FFFF00000000}"/>
  </bookViews>
  <sheets>
    <sheet name="Project Dashboard" sheetId="1" r:id="rId1"/>
    <sheet name="Project Charter" sheetId="2" r:id="rId2"/>
    <sheet name="Work Packages" sheetId="3" r:id="rId3"/>
    <sheet name="Master Schedule" sheetId="4" r:id="rId4"/>
    <sheet name="Budget &amp; Forecast" sheetId="5" r:id="rId5"/>
    <sheet name="Procurement &amp; Dependencies" sheetId="6" r:id="rId6"/>
    <sheet name="Quality Gates" sheetId="7" r:id="rId7"/>
    <sheet name="RAIDD" sheetId="8" r:id="rId8"/>
    <sheet name="Lessons Learned" sheetId="9" r:id="rId9"/>
    <sheet name="Flowshua Brand Palette" sheetId="10" r:id="rId10"/>
  </sheets>
  <definedNames>
    <definedName name="_xlnm.Print_Area" localSheetId="4">'Budget &amp; Forecast'!$A$1:$J$22</definedName>
    <definedName name="_xlnm.Print_Area" localSheetId="8">'Lessons Learned'!$A$1:$H$21</definedName>
    <definedName name="_xlnm.Print_Area" localSheetId="3">'Master Schedule'!$A$1:$S$21</definedName>
    <definedName name="_xlnm.Print_Area" localSheetId="5">'Procurement &amp; Dependencies'!$A$1:$L$15</definedName>
    <definedName name="_xlnm.Print_Area" localSheetId="1">'Project Charter'!$A$1:$K$30</definedName>
    <definedName name="_xlnm.Print_Area" localSheetId="0">'Project Dashboard'!$A$1:$L$39</definedName>
    <definedName name="_xlnm.Print_Area" localSheetId="6">'Quality Gates'!$A$1:$J$13</definedName>
    <definedName name="_xlnm.Print_Area" localSheetId="7">RAIDD!$A$1:$I$16</definedName>
    <definedName name="_xlnm.Print_Area" localSheetId="2">'Work Packages'!$A$1:$N$21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5" l="1"/>
  <c r="C18" i="5"/>
  <c r="B18" i="5"/>
  <c r="E16" i="5"/>
  <c r="E15" i="5"/>
  <c r="E14" i="5"/>
  <c r="E13" i="5"/>
  <c r="E12" i="5"/>
  <c r="E11" i="5"/>
  <c r="E18" i="5" s="1"/>
  <c r="I6" i="5" s="1"/>
  <c r="G6" i="5"/>
  <c r="E6" i="5"/>
  <c r="C6" i="5"/>
  <c r="A6" i="5"/>
  <c r="S20" i="4"/>
  <c r="R20" i="4"/>
  <c r="Q20" i="4"/>
  <c r="P20" i="4"/>
  <c r="O20" i="4"/>
  <c r="N20" i="4"/>
  <c r="M20" i="4"/>
  <c r="L20" i="4"/>
  <c r="K20" i="4"/>
  <c r="J20" i="4"/>
  <c r="I20" i="4"/>
  <c r="H20" i="4"/>
  <c r="S19" i="4"/>
  <c r="R19" i="4"/>
  <c r="Q19" i="4"/>
  <c r="P19" i="4"/>
  <c r="O19" i="4"/>
  <c r="N19" i="4"/>
  <c r="M19" i="4"/>
  <c r="L19" i="4"/>
  <c r="K19" i="4"/>
  <c r="J19" i="4"/>
  <c r="I19" i="4"/>
  <c r="H19" i="4"/>
  <c r="S18" i="4"/>
  <c r="R18" i="4"/>
  <c r="Q18" i="4"/>
  <c r="P18" i="4"/>
  <c r="O18" i="4"/>
  <c r="N18" i="4"/>
  <c r="M18" i="4"/>
  <c r="L18" i="4"/>
  <c r="K18" i="4"/>
  <c r="J18" i="4"/>
  <c r="I18" i="4"/>
  <c r="H18" i="4"/>
  <c r="S17" i="4"/>
  <c r="R17" i="4"/>
  <c r="Q17" i="4"/>
  <c r="P17" i="4"/>
  <c r="O17" i="4"/>
  <c r="N17" i="4"/>
  <c r="M17" i="4"/>
  <c r="L17" i="4"/>
  <c r="K17" i="4"/>
  <c r="J17" i="4"/>
  <c r="I17" i="4"/>
  <c r="H17" i="4"/>
  <c r="S16" i="4"/>
  <c r="R16" i="4"/>
  <c r="Q16" i="4"/>
  <c r="P16" i="4"/>
  <c r="O16" i="4"/>
  <c r="N16" i="4"/>
  <c r="M16" i="4"/>
  <c r="L16" i="4"/>
  <c r="K16" i="4"/>
  <c r="J16" i="4"/>
  <c r="I16" i="4"/>
  <c r="H16" i="4"/>
  <c r="S15" i="4"/>
  <c r="R15" i="4"/>
  <c r="Q15" i="4"/>
  <c r="P15" i="4"/>
  <c r="O15" i="4"/>
  <c r="N15" i="4"/>
  <c r="M15" i="4"/>
  <c r="L15" i="4"/>
  <c r="K15" i="4"/>
  <c r="J15" i="4"/>
  <c r="I15" i="4"/>
  <c r="H15" i="4"/>
  <c r="S14" i="4"/>
  <c r="R14" i="4"/>
  <c r="Q14" i="4"/>
  <c r="P14" i="4"/>
  <c r="O14" i="4"/>
  <c r="N14" i="4"/>
  <c r="M14" i="4"/>
  <c r="L14" i="4"/>
  <c r="K14" i="4"/>
  <c r="J14" i="4"/>
  <c r="I14" i="4"/>
  <c r="H14" i="4"/>
  <c r="S13" i="4"/>
  <c r="R13" i="4"/>
  <c r="Q13" i="4"/>
  <c r="P13" i="4"/>
  <c r="O13" i="4"/>
  <c r="N13" i="4"/>
  <c r="M13" i="4"/>
  <c r="L13" i="4"/>
  <c r="K13" i="4"/>
  <c r="J13" i="4"/>
  <c r="I13" i="4"/>
  <c r="H13" i="4"/>
  <c r="S12" i="4"/>
  <c r="R12" i="4"/>
  <c r="Q12" i="4"/>
  <c r="P12" i="4"/>
  <c r="O12" i="4"/>
  <c r="N12" i="4"/>
  <c r="M12" i="4"/>
  <c r="L12" i="4"/>
  <c r="K12" i="4"/>
  <c r="J12" i="4"/>
  <c r="I12" i="4"/>
  <c r="H12" i="4"/>
  <c r="S11" i="4"/>
  <c r="R11" i="4"/>
  <c r="Q11" i="4"/>
  <c r="P11" i="4"/>
  <c r="O11" i="4"/>
  <c r="N11" i="4"/>
  <c r="M11" i="4"/>
  <c r="L11" i="4"/>
  <c r="K11" i="4"/>
  <c r="J11" i="4"/>
  <c r="I11" i="4"/>
  <c r="H11" i="4"/>
  <c r="S10" i="4"/>
  <c r="R10" i="4"/>
  <c r="Q10" i="4"/>
  <c r="P10" i="4"/>
  <c r="O10" i="4"/>
  <c r="N10" i="4"/>
  <c r="M10" i="4"/>
  <c r="L10" i="4"/>
  <c r="K10" i="4"/>
  <c r="J10" i="4"/>
  <c r="I10" i="4"/>
  <c r="H10" i="4"/>
  <c r="S9" i="4"/>
  <c r="R9" i="4"/>
  <c r="Q9" i="4"/>
  <c r="P9" i="4"/>
  <c r="O9" i="4"/>
  <c r="N9" i="4"/>
  <c r="M9" i="4"/>
  <c r="L9" i="4"/>
  <c r="K9" i="4"/>
  <c r="J9" i="4"/>
  <c r="I9" i="4"/>
  <c r="H9" i="4"/>
  <c r="S8" i="4"/>
  <c r="R8" i="4"/>
  <c r="Q8" i="4"/>
  <c r="P8" i="4"/>
  <c r="O8" i="4"/>
  <c r="N8" i="4"/>
  <c r="M8" i="4"/>
  <c r="L8" i="4"/>
  <c r="K8" i="4"/>
  <c r="J8" i="4"/>
  <c r="I8" i="4"/>
  <c r="H8" i="4"/>
  <c r="S7" i="4"/>
  <c r="R7" i="4"/>
  <c r="Q7" i="4"/>
  <c r="P7" i="4"/>
  <c r="O7" i="4"/>
  <c r="N7" i="4"/>
  <c r="M7" i="4"/>
  <c r="L7" i="4"/>
  <c r="K7" i="4"/>
  <c r="J7" i="4"/>
  <c r="I7" i="4"/>
  <c r="H7" i="4"/>
  <c r="S6" i="4"/>
  <c r="R6" i="4"/>
  <c r="Q6" i="4"/>
  <c r="P6" i="4"/>
  <c r="O6" i="4"/>
  <c r="N6" i="4"/>
  <c r="M6" i="4"/>
  <c r="L6" i="4"/>
  <c r="K6" i="4"/>
  <c r="J6" i="4"/>
  <c r="I6" i="4"/>
  <c r="H6" i="4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B37" i="1"/>
  <c r="B38" i="1" s="1"/>
  <c r="B36" i="1"/>
  <c r="B35" i="1"/>
  <c r="B31" i="1"/>
  <c r="B30" i="1"/>
  <c r="B29" i="1"/>
  <c r="B28" i="1"/>
  <c r="K6" i="1"/>
  <c r="I6" i="1"/>
  <c r="G6" i="1"/>
  <c r="E6" i="1"/>
  <c r="C6" i="1"/>
  <c r="A6" i="1"/>
</calcChain>
</file>

<file path=xl/sharedStrings.xml><?xml version="1.0" encoding="utf-8"?>
<sst xmlns="http://schemas.openxmlformats.org/spreadsheetml/2006/main" count="921" uniqueCount="575">
  <si>
    <t>Aircraft Return-to-Service Project</t>
  </si>
  <si>
    <t>Flowshua portfolio example. All project details in this workbook are fictional.</t>
  </si>
  <si>
    <t>Overall Progress</t>
  </si>
  <si>
    <t>Schedule Health</t>
  </si>
  <si>
    <t>Budget Used</t>
  </si>
  <si>
    <t>Open Items</t>
  </si>
  <si>
    <t>Return Date Forecast</t>
  </si>
  <si>
    <t>Quality Gates Done</t>
  </si>
  <si>
    <t>Based on the work completed so far</t>
  </si>
  <si>
    <t>Shows whether the schedule needs attention</t>
  </si>
  <si>
    <t>Spent or committed so far</t>
  </si>
  <si>
    <t>Risks, issues, and dependencies still open</t>
  </si>
  <si>
    <t>Planned final acceptance window</t>
  </si>
  <si>
    <t>Checks completed before final sign-off</t>
  </si>
  <si>
    <t>Project Goal</t>
  </si>
  <si>
    <t>Project Boundaries</t>
  </si>
  <si>
    <t>Get one fictional aircraft back to mission-capable status in 12 weeks while keeping the work, parts, inspections, labor, risks, and closeout organized.</t>
  </si>
  <si>
    <t>Everything in this workbook is fictional. It is based on general maintenance coordination experience, but it does not include real aircraft data, maintenance instructions, procedures, or operational information.</t>
  </si>
  <si>
    <t>What Needs Attention</t>
  </si>
  <si>
    <t>Project Path</t>
  </si>
  <si>
    <t>Focus</t>
  </si>
  <si>
    <t>What We See</t>
  </si>
  <si>
    <t>Owner</t>
  </si>
  <si>
    <t>Why It Matters</t>
  </si>
  <si>
    <t>Next Step</t>
  </si>
  <si>
    <t>Status</t>
  </si>
  <si>
    <t>Project Step</t>
  </si>
  <si>
    <t>Planned Window</t>
  </si>
  <si>
    <t>Current Forecast</t>
  </si>
  <si>
    <t>Depends On</t>
  </si>
  <si>
    <t>What We're Doing</t>
  </si>
  <si>
    <t>Scope</t>
  </si>
  <si>
    <t>The main work packages and release checks are set</t>
  </si>
  <si>
    <t>Project Manager</t>
  </si>
  <si>
    <t>Keeps extra work from getting added without a decision</t>
  </si>
  <si>
    <t>Keep change requests controlled</t>
  </si>
  <si>
    <t>Complete</t>
  </si>
  <si>
    <t>Initial assessment and plan</t>
  </si>
  <si>
    <t>Weeks 1-2</t>
  </si>
  <si>
    <t>Condition assessment</t>
  </si>
  <si>
    <t>Scope is set and the work plan is in place</t>
  </si>
  <si>
    <t>Parts</t>
  </si>
  <si>
    <t>Two key parts still need close follow-up</t>
  </si>
  <si>
    <t>Procurement Lead</t>
  </si>
  <si>
    <t>Could affect integration and final sign-off</t>
  </si>
  <si>
    <t>Keep pressure on the alternate source and delivery date</t>
  </si>
  <si>
    <t>At Risk</t>
  </si>
  <si>
    <t>Parts and sequencing</t>
  </si>
  <si>
    <t>Weeks 2-4</t>
  </si>
  <si>
    <t>Parts list and sourcing</t>
  </si>
  <si>
    <t>Stay on top of long-lead parts</t>
  </si>
  <si>
    <t>Critical path</t>
  </si>
  <si>
    <t>Work Center Lead</t>
  </si>
  <si>
    <t>This drives the return date</t>
  </si>
  <si>
    <t>Protect shop time and inspection windows</t>
  </si>
  <si>
    <t>In Progress</t>
  </si>
  <si>
    <t>Maintenance work</t>
  </si>
  <si>
    <t>Weeks 4-8</t>
  </si>
  <si>
    <t>Shop time and work-package handoffs</t>
  </si>
  <si>
    <t>Protect the main work windows</t>
  </si>
  <si>
    <t>Quality</t>
  </si>
  <si>
    <t>Quality Lead</t>
  </si>
  <si>
    <t>Helps avoid last-minute rework</t>
  </si>
  <si>
    <t>Hold time for inspections and evidence review</t>
  </si>
  <si>
    <t>Integration and quality</t>
  </si>
  <si>
    <t>Weeks 7-10</t>
  </si>
  <si>
    <t>Weeks 8-10</t>
  </si>
  <si>
    <t>Part arrivals and quality checks</t>
  </si>
  <si>
    <t>Watch</t>
  </si>
  <si>
    <t>Closeout</t>
  </si>
  <si>
    <t>Lessons and final paperwork are starting early</t>
  </si>
  <si>
    <t>Makes the project easier to wrap up cleanly</t>
  </si>
  <si>
    <t>Start the closeout package</t>
  </si>
  <si>
    <t>Not Started</t>
  </si>
  <si>
    <t>Final readiness and sign-off</t>
  </si>
  <si>
    <t>Weeks 10-12</t>
  </si>
  <si>
    <t>Weeks 11-12</t>
  </si>
  <si>
    <t>Quality release and sponsor approval</t>
  </si>
  <si>
    <t>Keep the final acceptance window protected</t>
  </si>
  <si>
    <t>Work Package Status</t>
  </si>
  <si>
    <t>What Each Tab Shows</t>
  </si>
  <si>
    <t>Count</t>
  </si>
  <si>
    <t>Tab</t>
  </si>
  <si>
    <t>What It Shows</t>
  </si>
  <si>
    <t>Project Charter</t>
  </si>
  <si>
    <t>Why the project exists, what is included, and who owns what</t>
  </si>
  <si>
    <t>Work Packages</t>
  </si>
  <si>
    <t>The main work, who owns it, progress, and what it depends on</t>
  </si>
  <si>
    <t>Master Schedule</t>
  </si>
  <si>
    <t>The 12-week plan and the parts of the project that drive the final date</t>
  </si>
  <si>
    <t>Budget &amp; Forecast</t>
  </si>
  <si>
    <t>Planned cost, current spend, expected total, and money left</t>
  </si>
  <si>
    <t>Procurement &amp; Dependencies</t>
  </si>
  <si>
    <t>Parts, outside support, delivery dates, and linked work packages</t>
  </si>
  <si>
    <t>Budget Snapshot</t>
  </si>
  <si>
    <t>Quality Gates</t>
  </si>
  <si>
    <t>Checks that must be done before final sign-off</t>
  </si>
  <si>
    <t>Metric</t>
  </si>
  <si>
    <t>Value</t>
  </si>
  <si>
    <t>RAIDD</t>
  </si>
  <si>
    <t>Risks, assumptions, issues, decisions, and dependencies</t>
  </si>
  <si>
    <t>Planned Budget</t>
  </si>
  <si>
    <t>Lessons Learned</t>
  </si>
  <si>
    <t>What worked, what did not, and what to use next time</t>
  </si>
  <si>
    <t>Spent / Committed</t>
  </si>
  <si>
    <t>Project Dashboard</t>
  </si>
  <si>
    <t>Quick view of progress, schedule, budget, risk, and readiness</t>
  </si>
  <si>
    <t>Expected Total Cost</t>
  </si>
  <si>
    <t>Budget Left</t>
  </si>
  <si>
    <t>Flowshua Projects | Clearer workflows. Stronger execution.</t>
  </si>
  <si>
    <t>Aircraft Return-to-Service Project | Fictional Flowshua portfolio example</t>
  </si>
  <si>
    <t>Project Overview</t>
  </si>
  <si>
    <t>Project Name</t>
  </si>
  <si>
    <t>Goal</t>
  </si>
  <si>
    <t>Project Type</t>
  </si>
  <si>
    <t>Fictional aircraft recovery project</t>
  </si>
  <si>
    <t>Project Sponsor</t>
  </si>
  <si>
    <t>Operations Sponsor (fictional role)</t>
  </si>
  <si>
    <t>Main Constraint</t>
  </si>
  <si>
    <t>Parts availability and the timing of quality checks are what drive the schedule.</t>
  </si>
  <si>
    <t>Project Manager (portfolio example)</t>
  </si>
  <si>
    <t>Working Assumption</t>
  </si>
  <si>
    <t>The aircraft stays out of the operating schedule until all release checks are complete.</t>
  </si>
  <si>
    <t>Planned Length</t>
  </si>
  <si>
    <t>12 weeks</t>
  </si>
  <si>
    <t>Success Looks Like</t>
  </si>
  <si>
    <t>$600,000</t>
  </si>
  <si>
    <t>What Is Fictional</t>
  </si>
  <si>
    <t>All aircraft, dates, costs, parts, and details here are made up for this portfolio example.</t>
  </si>
  <si>
    <t>Target Outcome</t>
  </si>
  <si>
    <t>How the Project Is Run</t>
  </si>
  <si>
    <t>Keep ownership clear, raise problems early, and keep the project easy to follow.</t>
  </si>
  <si>
    <t>What Is Included</t>
  </si>
  <si>
    <t>What Is Not Included</t>
  </si>
  <si>
    <t>Included</t>
  </si>
  <si>
    <t>Initial assessment and work planning</t>
  </si>
  <si>
    <t>Not included</t>
  </si>
  <si>
    <t>Technical repair instructions or maintenance procedures</t>
  </si>
  <si>
    <t>Fictional parts planning, tracking, and recovery sequencing</t>
  </si>
  <si>
    <t>Real aircraft, unit, system, inspection, or parts information</t>
  </si>
  <si>
    <t>Work-center coordination, quality checks, and return-to-service sign-off</t>
  </si>
  <si>
    <t>Operational flight schedules or mission details</t>
  </si>
  <si>
    <t>Project budget, schedule, risk tracking, and lessons learned</t>
  </si>
  <si>
    <t>Real vendor, contract, or supply-chain information</t>
  </si>
  <si>
    <t>Weekly updates so leadership can see the full picture</t>
  </si>
  <si>
    <t>Any claim that this is real Government work product</t>
  </si>
  <si>
    <t>Who Is Involved and How It Works</t>
  </si>
  <si>
    <t>Role</t>
  </si>
  <si>
    <t>What They Care About</t>
  </si>
  <si>
    <t>What They Decide</t>
  </si>
  <si>
    <t>How Often</t>
  </si>
  <si>
    <t>What They Bring</t>
  </si>
  <si>
    <t>Operations Sponsor</t>
  </si>
  <si>
    <t>Getting the aircraft back in service</t>
  </si>
  <si>
    <t>Approves scope and final sign-off</t>
  </si>
  <si>
    <t>Weekly gate review</t>
  </si>
  <si>
    <t>Priority and final acceptance criteria</t>
  </si>
  <si>
    <t>Keeping the whole plan together</t>
  </si>
  <si>
    <t>Coordinates changes and escalations</t>
  </si>
  <si>
    <t>Daily control review</t>
  </si>
  <si>
    <t>Clear view of scope, cost, schedule, and risk</t>
  </si>
  <si>
    <t>Work order and team capacity</t>
  </si>
  <si>
    <t>Sets shop capacity</t>
  </si>
  <si>
    <t>Daily work review</t>
  </si>
  <si>
    <t>Progress and resource limits</t>
  </si>
  <si>
    <t>Parts and outside support</t>
  </si>
  <si>
    <t>Raises long-lead part problems</t>
  </si>
  <si>
    <t>Twice-weekly parts review</t>
  </si>
  <si>
    <t>Delivery dates and sourcing confidence</t>
  </si>
  <si>
    <t>Checks and release readiness</t>
  </si>
  <si>
    <t>Approves quality gates</t>
  </si>
  <si>
    <t>At each gate</t>
  </si>
  <si>
    <t>Inspection timing and evidence needs</t>
  </si>
  <si>
    <t>Technical Lead</t>
  </si>
  <si>
    <t>Work-package coordination</t>
  </si>
  <si>
    <t>Updates completion forecast</t>
  </si>
  <si>
    <t>Daily recovery update</t>
  </si>
  <si>
    <t>Work sequence and technical handoffs</t>
  </si>
  <si>
    <t>Support / Vendor Lead</t>
  </si>
  <si>
    <t>Outside support and part delivery</t>
  </si>
  <si>
    <t>Gives delivery forecast</t>
  </si>
  <si>
    <t>As needed</t>
  </si>
  <si>
    <t>Support availability and arrival dates</t>
  </si>
  <si>
    <t>Project Controls</t>
  </si>
  <si>
    <t>Cost, schedule, and open items</t>
  </si>
  <si>
    <t>Keeps the tracker current</t>
  </si>
  <si>
    <t>Weekly management review</t>
  </si>
  <si>
    <t>Forecasts, variances, and open-item status</t>
  </si>
  <si>
    <t>Portfolio Viewer</t>
  </si>
  <si>
    <t>Understanding the project example</t>
  </si>
  <si>
    <t>No decision authority</t>
  </si>
  <si>
    <t>Uses the workbook to see the approach</t>
  </si>
  <si>
    <t>Project Boundary</t>
  </si>
  <si>
    <t>Fictional portfolio project</t>
  </si>
  <si>
    <t>No outside authority</t>
  </si>
  <si>
    <t>Always visible</t>
  </si>
  <si>
    <t>Only made-up, non-sensitive project data</t>
  </si>
  <si>
    <t>Work Package Tracker</t>
  </si>
  <si>
    <t>The work plan, ownership, progress, and dependencies for this project example.</t>
  </si>
  <si>
    <t>Package ID</t>
  </si>
  <si>
    <t>Phase</t>
  </si>
  <si>
    <t>Work</t>
  </si>
  <si>
    <t>Days</t>
  </si>
  <si>
    <t>Start Week</t>
  </si>
  <si>
    <t>Finish Week</t>
  </si>
  <si>
    <t>Weight</t>
  </si>
  <si>
    <t>% Complete</t>
  </si>
  <si>
    <t>Earned %</t>
  </si>
  <si>
    <t>Schedule Effect</t>
  </si>
  <si>
    <t>Notes</t>
  </si>
  <si>
    <t>WP-001</t>
  </si>
  <si>
    <t>Initiation</t>
  </si>
  <si>
    <t>Check aircraft condition and document findings</t>
  </si>
  <si>
    <t>Project kickoff</t>
  </si>
  <si>
    <t>Low</t>
  </si>
  <si>
    <t>Findings are captured and the baseline is ready</t>
  </si>
  <si>
    <t>WP-002</t>
  </si>
  <si>
    <t>Approve the project plan and return-to-service target</t>
  </si>
  <si>
    <t>Project goals and sign-off target are set</t>
  </si>
  <si>
    <t>WP-003</t>
  </si>
  <si>
    <t>Planning</t>
  </si>
  <si>
    <t>Build the detailed work plan</t>
  </si>
  <si>
    <t>The work is laid out before execution starts</t>
  </si>
  <si>
    <t>WP-004</t>
  </si>
  <si>
    <t>Confirm parts needed and the sourcing plan</t>
  </si>
  <si>
    <t>Medium</t>
  </si>
  <si>
    <t>Two key parts need daily follow-up</t>
  </si>
  <si>
    <t>WP-005</t>
  </si>
  <si>
    <t>Set the recovery sequence and shop plan</t>
  </si>
  <si>
    <t>Shop windows and handoffs are clear</t>
  </si>
  <si>
    <t>WP-006</t>
  </si>
  <si>
    <t>Execution</t>
  </si>
  <si>
    <t>Finish major work package A</t>
  </si>
  <si>
    <t>Protect the work window and keep the package moving</t>
  </si>
  <si>
    <t>WP-007</t>
  </si>
  <si>
    <t>Finish major work package B</t>
  </si>
  <si>
    <t>High</t>
  </si>
  <si>
    <t>Part availability is driving the current forecast</t>
  </si>
  <si>
    <t>WP-008</t>
  </si>
  <si>
    <t>Restore support systems and records</t>
  </si>
  <si>
    <t>Keep the records moving with the work</t>
  </si>
  <si>
    <t>WP-009</t>
  </si>
  <si>
    <t>Integration</t>
  </si>
  <si>
    <t>Install recovered components</t>
  </si>
  <si>
    <t>Do not start until the critical component is in hand</t>
  </si>
  <si>
    <t>WP-010</t>
  </si>
  <si>
    <t>Run integration checks</t>
  </si>
  <si>
    <t>The configuration needs to be stable first</t>
  </si>
  <si>
    <t>WP-011</t>
  </si>
  <si>
    <t>Complete the quality review</t>
  </si>
  <si>
    <t>Hold inspection time before the work is done</t>
  </si>
  <si>
    <t>WP-012</t>
  </si>
  <si>
    <t>Close out any quality fixes</t>
  </si>
  <si>
    <t>Document and close fixes as they are completed</t>
  </si>
  <si>
    <t>WP-013</t>
  </si>
  <si>
    <t>Readiness</t>
  </si>
  <si>
    <t>Run final readiness checks</t>
  </si>
  <si>
    <t>This must be done before final sign-off</t>
  </si>
  <si>
    <t>WP-014</t>
  </si>
  <si>
    <t>Build the acceptance package</t>
  </si>
  <si>
    <t>Line up evidence, approvals, and final project records</t>
  </si>
  <si>
    <t>WP-015</t>
  </si>
  <si>
    <t>Get final sign-off and capture lessons learned</t>
  </si>
  <si>
    <t>Final sign-off and closeout</t>
  </si>
  <si>
    <t>Master Schedule &amp; Recovery Plan</t>
  </si>
  <si>
    <t>A simple 12-week plan showing what needs to happen and when.</t>
  </si>
  <si>
    <t>Main Step</t>
  </si>
  <si>
    <t>Health</t>
  </si>
  <si>
    <t>Finish condition assessment</t>
  </si>
  <si>
    <t>Approve project charter</t>
  </si>
  <si>
    <t>Finish the detailed work plan</t>
  </si>
  <si>
    <t>Confirm critical parts plan</t>
  </si>
  <si>
    <t>Confirm shop capacity and work order</t>
  </si>
  <si>
    <t>Finish integration checks</t>
  </si>
  <si>
    <t>Complete quality review</t>
  </si>
  <si>
    <t>Close out quality fixes</t>
  </si>
  <si>
    <t>Prepare final acceptance package</t>
  </si>
  <si>
    <t>Final sign-off and lessons learned</t>
  </si>
  <si>
    <t>Project Budget &amp; Forecast</t>
  </si>
  <si>
    <t>Sample project budget showing the plan, current spend, and expected finish.</t>
  </si>
  <si>
    <t>Budget Health</t>
  </si>
  <si>
    <t>Approved project budget</t>
  </si>
  <si>
    <t>Money spent or already committed</t>
  </si>
  <si>
    <t>What the project is expected to cost</t>
  </si>
  <si>
    <t>Room left in the budget</t>
  </si>
  <si>
    <t>How the forecast compares to the plan</t>
  </si>
  <si>
    <t>Category</t>
  </si>
  <si>
    <t>Expected Total</t>
  </si>
  <si>
    <t>Labor and shop support</t>
  </si>
  <si>
    <t>Parts and repairable components</t>
  </si>
  <si>
    <t>Materials and supplies</t>
  </si>
  <si>
    <t>Outside support and vendor help</t>
  </si>
  <si>
    <t>Testing and quality</t>
  </si>
  <si>
    <t>Contingency</t>
  </si>
  <si>
    <t>On Track</t>
  </si>
  <si>
    <t>Total</t>
  </si>
  <si>
    <t>Parts &amp; Dependency Tracker</t>
  </si>
  <si>
    <t>Parts, outside support, and dependencies that could affect the project plan.</t>
  </si>
  <si>
    <t>Request</t>
  </si>
  <si>
    <t>Part / Need</t>
  </si>
  <si>
    <t>Source</t>
  </si>
  <si>
    <t>Criticality</t>
  </si>
  <si>
    <t>Request Week</t>
  </si>
  <si>
    <t>Expected Arrival</t>
  </si>
  <si>
    <t>Linked Package</t>
  </si>
  <si>
    <t>PR-001</t>
  </si>
  <si>
    <t>Inspection supplies</t>
  </si>
  <si>
    <t>Quality support</t>
  </si>
  <si>
    <t>Internal stock</t>
  </si>
  <si>
    <t>Week 1</t>
  </si>
  <si>
    <t>Available now</t>
  </si>
  <si>
    <t>Make sure supplies are staged before review</t>
  </si>
  <si>
    <t>Available</t>
  </si>
  <si>
    <t>PR-002</t>
  </si>
  <si>
    <t>Electrical component</t>
  </si>
  <si>
    <t>Component</t>
  </si>
  <si>
    <t>Approved supplier</t>
  </si>
  <si>
    <t>Week 3</t>
  </si>
  <si>
    <t>Check the committed delivery date twice a week</t>
  </si>
  <si>
    <t>In Review</t>
  </si>
  <si>
    <t>PR-003</t>
  </si>
  <si>
    <t>Mechanical assembly</t>
  </si>
  <si>
    <t>Critical</t>
  </si>
  <si>
    <t>Waiting on forecast</t>
  </si>
  <si>
    <t>Work the alternate source and expedited shipping</t>
  </si>
  <si>
    <t>PR-004</t>
  </si>
  <si>
    <t>Seal and hardware kit</t>
  </si>
  <si>
    <t>Materials</t>
  </si>
  <si>
    <t>Week 2</t>
  </si>
  <si>
    <t>Check that the kit is complete before work starts</t>
  </si>
  <si>
    <t>PR-005</t>
  </si>
  <si>
    <t>Support equipment fixture</t>
  </si>
  <si>
    <t>Support equipment</t>
  </si>
  <si>
    <t>Shared pool</t>
  </si>
  <si>
    <t>Week 4</t>
  </si>
  <si>
    <t>Reserve the fixture for the integration window</t>
  </si>
  <si>
    <t>Confirmed</t>
  </si>
  <si>
    <t>PR-006</t>
  </si>
  <si>
    <t>Vendor diagnostic support</t>
  </si>
  <si>
    <t>Outside support</t>
  </si>
  <si>
    <t>Service partner</t>
  </si>
  <si>
    <t>Week 6</t>
  </si>
  <si>
    <t>Week 8</t>
  </si>
  <si>
    <t>Lock in the support date before checks start</t>
  </si>
  <si>
    <t>PR-007</t>
  </si>
  <si>
    <t>Verification materials</t>
  </si>
  <si>
    <t>Stage the materials before quality review</t>
  </si>
  <si>
    <t>PR-008</t>
  </si>
  <si>
    <t>Closeout paperwork</t>
  </si>
  <si>
    <t>Documentation</t>
  </si>
  <si>
    <t>Project controls</t>
  </si>
  <si>
    <t>Week 10</t>
  </si>
  <si>
    <t>Week 11</t>
  </si>
  <si>
    <t>Start pulling the records together before final sign-off</t>
  </si>
  <si>
    <t>Quality Gates &amp; Sign-Off Checklist</t>
  </si>
  <si>
    <t>The checks that need to be done before the project can be signed off.</t>
  </si>
  <si>
    <t>Gate</t>
  </si>
  <si>
    <t>Check / Decision</t>
  </si>
  <si>
    <t>What We Need</t>
  </si>
  <si>
    <t>Week</t>
  </si>
  <si>
    <t>Ready When</t>
  </si>
  <si>
    <t>G-001</t>
  </si>
  <si>
    <t>Approve the project scope</t>
  </si>
  <si>
    <t>Charter, work package list, and starting risk log</t>
  </si>
  <si>
    <t>The project goal and work list are approved</t>
  </si>
  <si>
    <t>G-002</t>
  </si>
  <si>
    <t>Confirm the parts plan</t>
  </si>
  <si>
    <t>Parts list, sourcing plan, and delivery dates</t>
  </si>
  <si>
    <t>Work the alternate source for critical parts</t>
  </si>
  <si>
    <t>Critical parts have a solid arrival forecast</t>
  </si>
  <si>
    <t>G-003</t>
  </si>
  <si>
    <t>Completed package record and quality evidence</t>
  </si>
  <si>
    <t>Protect the work window and handoffs</t>
  </si>
  <si>
    <t>The package is done and the handoff is documented</t>
  </si>
  <si>
    <t>G-004</t>
  </si>
  <si>
    <t>Completed package record and part availability confirmation</t>
  </si>
  <si>
    <t>Review part ETA and schedule every day</t>
  </si>
  <si>
    <t>The critical work is done inside the recovery window</t>
  </si>
  <si>
    <t>G-005</t>
  </si>
  <si>
    <t>Verify component integration</t>
  </si>
  <si>
    <t>Integration checklist and fit confirmation</t>
  </si>
  <si>
    <t>Hold support and check time</t>
  </si>
  <si>
    <t>The configuration is stable for quality review</t>
  </si>
  <si>
    <t>G-006</t>
  </si>
  <si>
    <t>Finish the quality review</t>
  </si>
  <si>
    <t>Quality package and closed corrective actions</t>
  </si>
  <si>
    <t>Stage evidence and inspection time early</t>
  </si>
  <si>
    <t>No open quality finding blocks release</t>
  </si>
  <si>
    <t>G-007</t>
  </si>
  <si>
    <t>Complete return-to-service sign-off</t>
  </si>
  <si>
    <t>Readiness result, sponsor sign-off, and closeout record</t>
  </si>
  <si>
    <t>Set the final decision meeting and acceptance package</t>
  </si>
  <si>
    <t>Sponsor signs off on the release conditions</t>
  </si>
  <si>
    <t>RAIDD Log</t>
  </si>
  <si>
    <t>A simple list of risks, assumptions, issues, decisions, and dependencies that need an owner.</t>
  </si>
  <si>
    <t>ID</t>
  </si>
  <si>
    <t>Type</t>
  </si>
  <si>
    <t>What Could Happen / What We Know</t>
  </si>
  <si>
    <t>Impact</t>
  </si>
  <si>
    <t>Priority</t>
  </si>
  <si>
    <t>Due Week</t>
  </si>
  <si>
    <t>R-01</t>
  </si>
  <si>
    <t>Risk</t>
  </si>
  <si>
    <t>A critical part could miss the integration window</t>
  </si>
  <si>
    <t>Could delay major work package B and integration</t>
  </si>
  <si>
    <t>Open</t>
  </si>
  <si>
    <t>Confirm the alternate source and update delivery confidence</t>
  </si>
  <si>
    <t>R-02</t>
  </si>
  <si>
    <t>A new condition found during work could add more scope</t>
  </si>
  <si>
    <t>Could need a scope decision and use some contingency</t>
  </si>
  <si>
    <t>Review scope before any extra work is approved</t>
  </si>
  <si>
    <t>R-03</t>
  </si>
  <si>
    <t>Quality review time may not line up with recovery completion</t>
  </si>
  <si>
    <t>Could delay the release check after work is done</t>
  </si>
  <si>
    <t>Week 9</t>
  </si>
  <si>
    <t>Hold the review window and stage evidence early</t>
  </si>
  <si>
    <t>A-01</t>
  </si>
  <si>
    <t>Assumption</t>
  </si>
  <si>
    <t>The planned budget has enough contingency for small changes</t>
  </si>
  <si>
    <t>The budget stays on track if changes stay within reserve</t>
  </si>
  <si>
    <t>Review contingency use in the weekly cost check</t>
  </si>
  <si>
    <t>A-02</t>
  </si>
  <si>
    <t>The shop has the people and time needed for the main work windows</t>
  </si>
  <si>
    <t>A resource conflict could slow down the recovery plan</t>
  </si>
  <si>
    <t>Week 5</t>
  </si>
  <si>
    <t>Confirm capacity before each weekly schedule lock</t>
  </si>
  <si>
    <t>I-01</t>
  </si>
  <si>
    <t>Issue</t>
  </si>
  <si>
    <t>The critical part delivery date is still uncertain</t>
  </si>
  <si>
    <t>The integration start date is exposed</t>
  </si>
  <si>
    <t>Escalate sourcing options and get firmer delivery dates</t>
  </si>
  <si>
    <t>I-02</t>
  </si>
  <si>
    <t>Major work package B is moving slower than planned</t>
  </si>
  <si>
    <t>Could squeeze the quality and readiness window</t>
  </si>
  <si>
    <t>Shift labor where needed and protect completion checks</t>
  </si>
  <si>
    <t>D-01</t>
  </si>
  <si>
    <t>Decision</t>
  </si>
  <si>
    <t>Use a full return-to-service gate instead of a partial release</t>
  </si>
  <si>
    <t>Keeps quality and readiness decisions clear</t>
  </si>
  <si>
    <t>Approved</t>
  </si>
  <si>
    <t>Keep full release checks before final sign-off</t>
  </si>
  <si>
    <t>D-02</t>
  </si>
  <si>
    <t>Hold contingency until the critical part forecast is clearer</t>
  </si>
  <si>
    <t>Prevents the budget from being used too early</t>
  </si>
  <si>
    <t>Only use reserve through a change review</t>
  </si>
  <si>
    <t>D-03</t>
  </si>
  <si>
    <t>Dependency</t>
  </si>
  <si>
    <t>Final sign-off depends on quality review, readiness checks, and sponsor approval</t>
  </si>
  <si>
    <t>This sets the final Week 12 release condition</t>
  </si>
  <si>
    <t>Week 12</t>
  </si>
  <si>
    <t>Track these three items as one linked final gate</t>
  </si>
  <si>
    <t>Closeout &amp; Lessons Learned</t>
  </si>
  <si>
    <t>Things worth capturing before the project wraps up.</t>
  </si>
  <si>
    <t>What We Have Learned So Far</t>
  </si>
  <si>
    <t>Lesson ID</t>
  </si>
  <si>
    <t>Project Moment</t>
  </si>
  <si>
    <t>What Happened</t>
  </si>
  <si>
    <t>What We Learned</t>
  </si>
  <si>
    <t>What To Do Next Time</t>
  </si>
  <si>
    <t>Where It Helps</t>
  </si>
  <si>
    <t>LL-01</t>
  </si>
  <si>
    <t>Scope baseline</t>
  </si>
  <si>
    <t>The early assessment stopped extra work from slipping into the active plan without a review.</t>
  </si>
  <si>
    <t>Set the scope early, then make changes visible before adding work.</t>
  </si>
  <si>
    <t>Keep a simple baseline and change log before major work starts.</t>
  </si>
  <si>
    <t>Future recovery projects</t>
  </si>
  <si>
    <t>LL-02</t>
  </si>
  <si>
    <t>Parts planning</t>
  </si>
  <si>
    <t>One long-lead part created a lot of schedule pressure.</t>
  </si>
  <si>
    <t>Start critical parts work early and always look at a backup source.</t>
  </si>
  <si>
    <t>Flag critical parts and check delivery confidence twice a week.</t>
  </si>
  <si>
    <t>Parts and dependency tracking</t>
  </si>
  <si>
    <t>LL-03</t>
  </si>
  <si>
    <t>Shop capacity</t>
  </si>
  <si>
    <t>Too much work hit the most limited recovery package at the same time.</t>
  </si>
  <si>
    <t>Protect critical-path work before lower-priority tasks.</t>
  </si>
  <si>
    <t>Lock in shop time each week for the work that drives the date.</t>
  </si>
  <si>
    <t>Resource planning</t>
  </si>
  <si>
    <t>LL-04</t>
  </si>
  <si>
    <t>Quality planning</t>
  </si>
  <si>
    <t>Waiting too long to plan verification would have squeezed the release window.</t>
  </si>
  <si>
    <t>Build evidence and inspection needs into the work package from the start.</t>
  </si>
  <si>
    <t>Stage quality evidence before the work is finished.</t>
  </si>
  <si>
    <t>Quality-gate checklist</t>
  </si>
  <si>
    <t>LL-05</t>
  </si>
  <si>
    <t>Leadership visibility</t>
  </si>
  <si>
    <t>A simple weekly dashboard made it easier to raise problems early.</t>
  </si>
  <si>
    <t>Leaders need a quick view of scope, cost, schedule, risk, and readiness.</t>
  </si>
  <si>
    <t>Use the same dashboard format during active recovery work.</t>
  </si>
  <si>
    <t>Project control dashboard</t>
  </si>
  <si>
    <t>Closeout Checklist</t>
  </si>
  <si>
    <t>Closeout Item</t>
  </si>
  <si>
    <t>Target Week</t>
  </si>
  <si>
    <t>Follow-up</t>
  </si>
  <si>
    <t>Portfolio Note</t>
  </si>
  <si>
    <t>Final acceptance package</t>
  </si>
  <si>
    <t>Approvals, release record, and final project summary</t>
  </si>
  <si>
    <t>Shows the project is officially complete</t>
  </si>
  <si>
    <t>Prepare it before the final readiness review</t>
  </si>
  <si>
    <t>Fictional portfolio example</t>
  </si>
  <si>
    <t>Budget wrap-up</t>
  </si>
  <si>
    <t>Final forecast, variance notes, and contingency use</t>
  </si>
  <si>
    <t>Shows how the project finished against the plan</t>
  </si>
  <si>
    <t>Update it as final vendor costs become clear</t>
  </si>
  <si>
    <t>Sample cost-control view</t>
  </si>
  <si>
    <t>RAIDD review</t>
  </si>
  <si>
    <t>Final status of open items and decisions</t>
  </si>
  <si>
    <t>Makes sure nothing gets lost at closeout</t>
  </si>
  <si>
    <t>Close or hand off every open item</t>
  </si>
  <si>
    <t>Sample project control</t>
  </si>
  <si>
    <t>Lessons learned review</t>
  </si>
  <si>
    <t>Final lessons summary and repeatable standards</t>
  </si>
  <si>
    <t>Turns the project into something useful next time</t>
  </si>
  <si>
    <t>Review it with the recovery leads</t>
  </si>
  <si>
    <t>Public, portfolio-safe summary</t>
  </si>
  <si>
    <t>Workbook archive</t>
  </si>
  <si>
    <t>Final workbook and project summary</t>
  </si>
  <si>
    <t>Keeps the project easy to explain and reuse</t>
  </si>
  <si>
    <t>Publish the approved portfolio version</t>
  </si>
  <si>
    <t>No real operational data included</t>
  </si>
  <si>
    <t>Flowshua Brand Palette</t>
  </si>
  <si>
    <t>Simple color reference for future Flowshua workbooks and website updates.</t>
  </si>
  <si>
    <t>Brand Element</t>
  </si>
  <si>
    <t>Hex</t>
  </si>
  <si>
    <t>Use It For</t>
  </si>
  <si>
    <t>Preview</t>
  </si>
  <si>
    <t>Primary charcoal</t>
  </si>
  <si>
    <t>#3B3430</t>
  </si>
  <si>
    <t>Titles, main headers, and footers</t>
  </si>
  <si>
    <t>Secondary mocha</t>
  </si>
  <si>
    <t>#5A4D45</t>
  </si>
  <si>
    <t>Section bars and page structure</t>
  </si>
  <si>
    <t>Bronze accent</t>
  </si>
  <si>
    <t>#B8946D</t>
  </si>
  <si>
    <t>Accent strips, charts, and emphasis</t>
  </si>
  <si>
    <t>Warm sand</t>
  </si>
  <si>
    <t>#D8C2A8</t>
  </si>
  <si>
    <t>Soft accents and neutral highlights</t>
  </si>
  <si>
    <t>Warm ivory</t>
  </si>
  <si>
    <t>#F7F3ED</t>
  </si>
  <si>
    <t>Subtitles and light background areas</t>
  </si>
  <si>
    <t>Border taupe</t>
  </si>
  <si>
    <t>#E6DDD2</t>
  </si>
  <si>
    <t>Light framing and separation</t>
  </si>
  <si>
    <t>Muted stone</t>
  </si>
  <si>
    <t>#7A6F66</t>
  </si>
  <si>
    <t>Subtitles, labels, and secondary text</t>
  </si>
  <si>
    <t>Fill</t>
  </si>
  <si>
    <t>Text</t>
  </si>
  <si>
    <t>On track / complete</t>
  </si>
  <si>
    <t>#DDE8DF</t>
  </si>
  <si>
    <t>#4F6B52</t>
  </si>
  <si>
    <t>Finished work, approved checks, and completed decisions</t>
  </si>
  <si>
    <t>In progress / watch</t>
  </si>
  <si>
    <t>#F1E1C4</t>
  </si>
  <si>
    <t>#856031</t>
  </si>
  <si>
    <t>Active work and items that need attention</t>
  </si>
  <si>
    <t>At risk / critical</t>
  </si>
  <si>
    <t>#ECD2CD</t>
  </si>
  <si>
    <t>#7B4D45</t>
  </si>
  <si>
    <t>Schedule, cost, or dependency problems</t>
  </si>
  <si>
    <t>Not started / review</t>
  </si>
  <si>
    <t>#ECE7E1</t>
  </si>
  <si>
    <t>#6A625B</t>
  </si>
  <si>
    <t>Planned work or items waiting for confirmation</t>
  </si>
  <si>
    <t>Keep it simple: use charcoal for titles, bronze for emphasis, ivory to keep things light, and the muted status colors only when they help show what needs attention.</t>
  </si>
  <si>
    <t>The maintenance and quality assurance checks are tied together</t>
  </si>
  <si>
    <t>Work Center Lead and QA</t>
  </si>
  <si>
    <t>Maintenance checks are being planned before the work ends</t>
  </si>
  <si>
    <t>Quality Assurance Lead</t>
  </si>
  <si>
    <t>Anticipate sign off before integration is finished</t>
  </si>
  <si>
    <t>Fully Mission Capable Aircraft</t>
  </si>
  <si>
    <t>Get one fictional aircraft back to full mission capable status in 12 weeks while keeping the work, parts, labor, inspections, and handoffs organized.</t>
  </si>
  <si>
    <t>Get another aircraft back to up status, lower operational risk, and give leadership a clear way to see what is moving and what needs help.</t>
  </si>
  <si>
    <t>Final sign-off happens by Week 12, the budget stays within plan, and no quality checks are skipped with no rework.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</si>
</sst>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&quot;Week &quot;0"/>
  </numFmts>
  <fonts count="30">
    <font>
      <sz val="11"/>
      <name val="Carlito"/>
    </font>
    <font>
      <sz val="11"/>
      <color rgb="FF3B3430"/>
      <name val="Carlito"/>
    </font>
    <font>
      <sz val="11"/>
      <color rgb="FFFFFFFF"/>
      <name val="Carlito"/>
    </font>
    <font>
      <b/>
      <sz val="11"/>
      <color rgb="FFFFFFFF"/>
      <name val="Candara"/>
      <family val="2"/>
    </font>
    <font>
      <sz val="11"/>
      <color rgb="FF7A6F66"/>
      <name val="Candara"/>
      <family val="2"/>
    </font>
    <font>
      <sz val="11"/>
      <name val="Candara"/>
      <family val="2"/>
    </font>
    <font>
      <sz val="11"/>
      <color rgb="FF3B3430"/>
      <name val="Candara"/>
      <family val="2"/>
    </font>
    <font>
      <b/>
      <sz val="11"/>
      <color rgb="FF7A6F66"/>
      <name val="Candara"/>
      <family val="2"/>
    </font>
    <font>
      <b/>
      <sz val="11"/>
      <color rgb="FF3B3430"/>
      <name val="Candara"/>
      <family val="2"/>
    </font>
    <font>
      <b/>
      <sz val="11"/>
      <color rgb="FF4F6B52"/>
      <name val="Candara"/>
      <family val="2"/>
    </font>
    <font>
      <b/>
      <sz val="11"/>
      <color rgb="FF7B4D45"/>
      <name val="Candara"/>
      <family val="2"/>
    </font>
    <font>
      <b/>
      <sz val="11"/>
      <color rgb="FF856031"/>
      <name val="Candara"/>
      <family val="2"/>
    </font>
    <font>
      <b/>
      <sz val="11"/>
      <color rgb="FF6A625B"/>
      <name val="Candara"/>
      <family val="2"/>
    </font>
    <font>
      <sz val="13"/>
      <color rgb="FF3B3430"/>
      <name val="Candara"/>
      <family val="2"/>
    </font>
    <font>
      <b/>
      <sz val="13"/>
      <color rgb="FFFFFFFF"/>
      <name val="Candara"/>
      <family val="2"/>
    </font>
    <font>
      <sz val="18"/>
      <color rgb="FFFFFFFF"/>
      <name val="Candara"/>
      <family val="2"/>
    </font>
    <font>
      <b/>
      <sz val="20"/>
      <color rgb="FFFFFFFF"/>
      <name val="Candara"/>
      <family val="2"/>
    </font>
    <font>
      <b/>
      <sz val="20"/>
      <color rgb="FFFFFFFF"/>
      <name val="Carlito"/>
    </font>
    <font>
      <sz val="14"/>
      <color rgb="FF7A6F66"/>
      <name val="Candara"/>
      <family val="2"/>
    </font>
    <font>
      <sz val="14"/>
      <color rgb="FF7A6F66"/>
      <name val="Carlito"/>
    </font>
    <font>
      <b/>
      <sz val="13"/>
      <color rgb="FFFFFFFF"/>
      <name val="Carlito"/>
    </font>
    <font>
      <sz val="18"/>
      <color rgb="FFFFFFFF"/>
      <name val="Carlito"/>
    </font>
    <font>
      <b/>
      <sz val="12"/>
      <color rgb="FFFFFFFF"/>
      <name val="Candara"/>
      <family val="2"/>
    </font>
    <font>
      <b/>
      <sz val="14"/>
      <color rgb="FFFFFFFF"/>
      <name val="Candara"/>
      <family val="2"/>
    </font>
    <font>
      <sz val="15"/>
      <color rgb="FF7A6F66"/>
      <name val="Candara"/>
      <family val="2"/>
    </font>
    <font>
      <sz val="12.5"/>
      <color rgb="FF3B3430"/>
      <name val="Candara"/>
      <family val="2"/>
    </font>
    <font>
      <b/>
      <sz val="13"/>
      <color rgb="FF3B3430"/>
      <name val="Candara"/>
      <family val="2"/>
    </font>
    <font>
      <b/>
      <sz val="12"/>
      <color rgb="FF4F6B52"/>
      <name val="Candara"/>
      <family val="2"/>
    </font>
    <font>
      <sz val="12"/>
      <color rgb="FF3B3430"/>
      <name val="Candara"/>
      <family val="2"/>
    </font>
    <font>
      <b/>
      <sz val="12"/>
      <color rgb="FF7B4D45"/>
      <name val="Candara"/>
      <family val="2"/>
    </font>
  </fonts>
  <fills count="15">
    <fill>
      <patternFill patternType="none"/>
    </fill>
    <fill>
      <patternFill patternType="gray125"/>
    </fill>
    <fill>
      <patternFill patternType="solid">
        <fgColor rgb="FFFFFDFC"/>
      </patternFill>
    </fill>
    <fill>
      <patternFill patternType="solid">
        <fgColor rgb="FF3B3430"/>
      </patternFill>
    </fill>
    <fill>
      <patternFill patternType="solid">
        <fgColor rgb="FFF7F3ED"/>
      </patternFill>
    </fill>
    <fill>
      <patternFill patternType="solid">
        <fgColor rgb="FFB8946D"/>
      </patternFill>
    </fill>
    <fill>
      <patternFill patternType="solid">
        <fgColor rgb="FFEFE2D3"/>
      </patternFill>
    </fill>
    <fill>
      <patternFill patternType="solid">
        <fgColor rgb="FF5A4D45"/>
      </patternFill>
    </fill>
    <fill>
      <patternFill patternType="solid">
        <fgColor rgb="FFDDE8DF"/>
      </patternFill>
    </fill>
    <fill>
      <patternFill patternType="solid">
        <fgColor rgb="FFECD2CD"/>
      </patternFill>
    </fill>
    <fill>
      <patternFill patternType="solid">
        <fgColor rgb="FFD8C2A8"/>
      </patternFill>
    </fill>
    <fill>
      <patternFill patternType="solid">
        <fgColor rgb="FFE6DDD2"/>
      </patternFill>
    </fill>
    <fill>
      <patternFill patternType="solid">
        <fgColor rgb="FF7A6F66"/>
      </patternFill>
    </fill>
    <fill>
      <patternFill patternType="solid">
        <fgColor rgb="FFF1E1C4"/>
      </patternFill>
    </fill>
    <fill>
      <patternFill patternType="solid">
        <fgColor rgb="FFECE7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/>
    <xf numFmtId="0" fontId="0" fillId="5" borderId="0" xfId="0" applyFill="1" applyAlignment="1">
      <alignment vertical="center"/>
    </xf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6" fillId="2" borderId="0" xfId="0" applyFont="1" applyFill="1"/>
    <xf numFmtId="0" fontId="7" fillId="6" borderId="0" xfId="0" applyFont="1" applyFill="1" applyAlignment="1">
      <alignment horizontal="center" vertical="center"/>
    </xf>
    <xf numFmtId="9" fontId="8" fillId="2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 wrapText="1"/>
    </xf>
    <xf numFmtId="0" fontId="3" fillId="3" borderId="0" xfId="0" applyFont="1" applyFill="1" applyAlignment="1">
      <alignment horizontal="center"/>
    </xf>
    <xf numFmtId="0" fontId="6" fillId="4" borderId="0" xfId="0" applyFont="1" applyFill="1" applyAlignment="1">
      <alignment vertical="center" wrapText="1"/>
    </xf>
    <xf numFmtId="164" fontId="6" fillId="4" borderId="0" xfId="0" applyNumberFormat="1" applyFont="1" applyFill="1" applyAlignment="1">
      <alignment vertical="center" wrapText="1"/>
    </xf>
    <xf numFmtId="0" fontId="6" fillId="6" borderId="0" xfId="0" applyFont="1" applyFill="1" applyAlignment="1">
      <alignment horizontal="center" vertical="center" wrapText="1"/>
    </xf>
    <xf numFmtId="0" fontId="13" fillId="4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horizontal="center" vertical="center" wrapText="1"/>
    </xf>
    <xf numFmtId="0" fontId="14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6" fillId="4" borderId="0" xfId="0" applyFont="1" applyFill="1" applyAlignment="1">
      <alignment horizontal="left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 wrapText="1"/>
    </xf>
    <xf numFmtId="0" fontId="23" fillId="7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 vertical="center" wrapText="1"/>
    </xf>
    <xf numFmtId="9" fontId="6" fillId="2" borderId="0" xfId="0" applyNumberFormat="1" applyFon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165" fontId="14" fillId="3" borderId="0" xfId="0" applyNumberFormat="1" applyFont="1" applyFill="1" applyAlignment="1">
      <alignment horizontal="center" vertical="center" wrapText="1"/>
    </xf>
    <xf numFmtId="164" fontId="8" fillId="2" borderId="0" xfId="0" applyNumberFormat="1" applyFont="1" applyFill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 wrapText="1"/>
    </xf>
    <xf numFmtId="164" fontId="8" fillId="6" borderId="0" xfId="0" applyNumberFormat="1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center" vertical="center" wrapText="1"/>
    </xf>
    <xf numFmtId="0" fontId="26" fillId="6" borderId="0" xfId="0" applyFont="1" applyFill="1" applyAlignment="1">
      <alignment horizontal="center" vertical="center" wrapText="1"/>
    </xf>
    <xf numFmtId="0" fontId="25" fillId="4" borderId="0" xfId="0" applyFont="1" applyFill="1" applyAlignment="1">
      <alignment horizontal="center" vertical="center" wrapText="1"/>
    </xf>
    <xf numFmtId="0" fontId="25" fillId="4" borderId="0" xfId="0" applyFont="1" applyFill="1" applyAlignment="1">
      <alignment horizontal="center" vertical="center"/>
    </xf>
    <xf numFmtId="0" fontId="27" fillId="8" borderId="0" xfId="0" applyFont="1" applyFill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29" fillId="9" borderId="0" xfId="0" applyFont="1" applyFill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50"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color rgb="FFB8946D"/>
      </font>
      <fill>
        <patternFill>
          <bgColor rgb="FFB8946D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6A625B"/>
      </font>
      <fill>
        <patternFill>
          <bgColor rgb="FFECE7E1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7B4D45"/>
      </font>
      <fill>
        <patternFill>
          <bgColor rgb="FFECD2CD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856031"/>
      </font>
      <fill>
        <patternFill>
          <bgColor rgb="FFF1E1C4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  <dxf>
      <font>
        <b/>
        <color rgb="FF4F6B52"/>
      </font>
      <fill>
        <patternFill>
          <bgColor rgb="FFDDE8D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Baseline vs Actual / Forecast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Baseline Budget</c:v>
          </c:tx>
          <c:spPr>
            <a:solidFill>
              <a:srgbClr val="B8946D"/>
            </a:solidFill>
            <a:ln w="7144">
              <a:solidFill>
                <a:srgbClr val="3B3430"/>
              </a:solidFill>
              <a:prstDash val="solid"/>
            </a:ln>
          </c:spPr>
          <c:invertIfNegative val="1"/>
          <c:cat>
            <c:strRef>
              <c:f>'Budget &amp; Forecast'!$A$11:$A$16</c:f>
              <c:strCache>
                <c:ptCount val="6"/>
                <c:pt idx="0">
                  <c:v>Labor and shop support</c:v>
                </c:pt>
                <c:pt idx="1">
                  <c:v>Parts and repairable components</c:v>
                </c:pt>
                <c:pt idx="2">
                  <c:v>Materials and supplies</c:v>
                </c:pt>
                <c:pt idx="3">
                  <c:v>Outside support and vendor help</c:v>
                </c:pt>
                <c:pt idx="4">
                  <c:v>Testing and quality</c:v>
                </c:pt>
                <c:pt idx="5">
                  <c:v>Contingency</c:v>
                </c:pt>
              </c:strCache>
            </c:strRef>
          </c:cat>
          <c:val>
            <c:numRef>
              <c:f>'Budget &amp; Forecast'!$B$11:$B$16</c:f>
              <c:numCache>
                <c:formatCode>\$#,##0</c:formatCode>
                <c:ptCount val="6"/>
                <c:pt idx="0">
                  <c:v>155000</c:v>
                </c:pt>
                <c:pt idx="1">
                  <c:v>230000</c:v>
                </c:pt>
                <c:pt idx="2">
                  <c:v>48000</c:v>
                </c:pt>
                <c:pt idx="3">
                  <c:v>72000</c:v>
                </c:pt>
                <c:pt idx="4">
                  <c:v>35000</c:v>
                </c:pt>
                <c:pt idx="5">
                  <c:v>60000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7144">
                    <a:solidFill>
                      <a:srgbClr val="3B343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5D7-624B-AA43-568189616033}"/>
            </c:ext>
          </c:extLst>
        </c:ser>
        <c:ser>
          <c:idx val="1"/>
          <c:order val="1"/>
          <c:tx>
            <c:v>Actual / Committed</c:v>
          </c:tx>
          <c:spPr>
            <a:solidFill>
              <a:srgbClr val="D8C2A8"/>
            </a:solidFill>
            <a:ln w="7144">
              <a:solidFill>
                <a:srgbClr val="3B3430"/>
              </a:solidFill>
              <a:prstDash val="solid"/>
            </a:ln>
          </c:spPr>
          <c:invertIfNegative val="1"/>
          <c:cat>
            <c:strRef>
              <c:f>'Budget &amp; Forecast'!$A$11:$A$16</c:f>
              <c:strCache>
                <c:ptCount val="6"/>
                <c:pt idx="0">
                  <c:v>Labor and shop support</c:v>
                </c:pt>
                <c:pt idx="1">
                  <c:v>Parts and repairable components</c:v>
                </c:pt>
                <c:pt idx="2">
                  <c:v>Materials and supplies</c:v>
                </c:pt>
                <c:pt idx="3">
                  <c:v>Outside support and vendor help</c:v>
                </c:pt>
                <c:pt idx="4">
                  <c:v>Testing and quality</c:v>
                </c:pt>
                <c:pt idx="5">
                  <c:v>Contingency</c:v>
                </c:pt>
              </c:strCache>
            </c:strRef>
          </c:cat>
          <c:val>
            <c:numRef>
              <c:f>'Budget &amp; Forecast'!$C$11:$C$16</c:f>
              <c:numCache>
                <c:formatCode>\$#,##0</c:formatCode>
                <c:ptCount val="6"/>
                <c:pt idx="0">
                  <c:v>78500</c:v>
                </c:pt>
                <c:pt idx="1">
                  <c:v>102000</c:v>
                </c:pt>
                <c:pt idx="2">
                  <c:v>23400</c:v>
                </c:pt>
                <c:pt idx="3">
                  <c:v>24000</c:v>
                </c:pt>
                <c:pt idx="4">
                  <c:v>10000</c:v>
                </c:pt>
                <c:pt idx="5">
                  <c:v>14100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7144">
                    <a:solidFill>
                      <a:srgbClr val="3B343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5D7-624B-AA43-568189616033}"/>
            </c:ext>
          </c:extLst>
        </c:ser>
        <c:ser>
          <c:idx val="2"/>
          <c:order val="2"/>
          <c:tx>
            <c:v>Forecast at Completion</c:v>
          </c:tx>
          <c:spPr>
            <a:solidFill>
              <a:srgbClr val="5A4D45"/>
            </a:solidFill>
            <a:ln w="7144">
              <a:solidFill>
                <a:srgbClr val="3B3430"/>
              </a:solidFill>
              <a:prstDash val="solid"/>
            </a:ln>
          </c:spPr>
          <c:invertIfNegative val="1"/>
          <c:cat>
            <c:strRef>
              <c:f>'Budget &amp; Forecast'!$A$11:$A$16</c:f>
              <c:strCache>
                <c:ptCount val="6"/>
                <c:pt idx="0">
                  <c:v>Labor and shop support</c:v>
                </c:pt>
                <c:pt idx="1">
                  <c:v>Parts and repairable components</c:v>
                </c:pt>
                <c:pt idx="2">
                  <c:v>Materials and supplies</c:v>
                </c:pt>
                <c:pt idx="3">
                  <c:v>Outside support and vendor help</c:v>
                </c:pt>
                <c:pt idx="4">
                  <c:v>Testing and quality</c:v>
                </c:pt>
                <c:pt idx="5">
                  <c:v>Contingency</c:v>
                </c:pt>
              </c:strCache>
            </c:strRef>
          </c:cat>
          <c:val>
            <c:numRef>
              <c:f>'Budget &amp; Forecast'!$D$11:$D$16</c:f>
              <c:numCache>
                <c:formatCode>\$#,##0</c:formatCode>
                <c:ptCount val="6"/>
                <c:pt idx="0">
                  <c:v>150000</c:v>
                </c:pt>
                <c:pt idx="1">
                  <c:v>228000</c:v>
                </c:pt>
                <c:pt idx="2">
                  <c:v>46500</c:v>
                </c:pt>
                <c:pt idx="3">
                  <c:v>71000</c:v>
                </c:pt>
                <c:pt idx="4">
                  <c:v>33500</c:v>
                </c:pt>
                <c:pt idx="5">
                  <c:v>56000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7144">
                    <a:solidFill>
                      <a:srgbClr val="3B343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5D7-624B-AA43-568189616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0</xdr:colOff>
      <xdr:row>18</xdr:row>
      <xdr:rowOff>114300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39"/>
  <sheetViews>
    <sheetView showGridLines="0" zoomScale="110" zoomScaleNormal="110" workbookViewId="0">
      <selection sqref="A1:L39"/>
    </sheetView>
  </sheetViews>
  <sheetFormatPr baseColWidth="10" defaultColWidth="8.83203125" defaultRowHeight="15"/>
  <cols>
    <col min="1" max="1" width="17" bestFit="1" customWidth="1"/>
    <col min="2" max="2" width="18" customWidth="1"/>
    <col min="3" max="3" width="15.5" bestFit="1" customWidth="1"/>
    <col min="4" max="4" width="17.83203125" bestFit="1" customWidth="1"/>
    <col min="5" max="5" width="17.1640625" bestFit="1" customWidth="1"/>
    <col min="6" max="6" width="12.5" bestFit="1" customWidth="1"/>
    <col min="7" max="7" width="17.83203125" bestFit="1" customWidth="1"/>
    <col min="8" max="8" width="14.5" bestFit="1" customWidth="1"/>
    <col min="9" max="9" width="14.1640625" bestFit="1" customWidth="1"/>
    <col min="10" max="10" width="17" bestFit="1" customWidth="1"/>
    <col min="11" max="11" width="10.1640625" bestFit="1" customWidth="1"/>
    <col min="12" max="12" width="28.83203125" bestFit="1" customWidth="1"/>
  </cols>
  <sheetData>
    <row r="1" spans="1:12" ht="41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2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>
      <c r="A5" s="8" t="s">
        <v>2</v>
      </c>
      <c r="B5" s="8"/>
      <c r="C5" s="8" t="s">
        <v>3</v>
      </c>
      <c r="D5" s="8"/>
      <c r="E5" s="8" t="s">
        <v>4</v>
      </c>
      <c r="F5" s="8"/>
      <c r="G5" s="8" t="s">
        <v>5</v>
      </c>
      <c r="H5" s="8"/>
      <c r="I5" s="8" t="s">
        <v>6</v>
      </c>
      <c r="J5" s="8"/>
      <c r="K5" s="8" t="s">
        <v>7</v>
      </c>
      <c r="L5" s="8"/>
    </row>
    <row r="6" spans="1:12">
      <c r="A6" s="9">
        <f>SUM('Work Packages'!$K$6:$K$20)/SUM('Work Packages'!$H$6:$H$20)</f>
        <v>0.42099999999999999</v>
      </c>
      <c r="B6" s="9"/>
      <c r="C6" s="10" t="str">
        <f>IF(COUNTIF('Master Schedule'!$G$6:$G$20,"At Risk")&gt;0,"At Risk","On Track")</f>
        <v>At Risk</v>
      </c>
      <c r="D6" s="10"/>
      <c r="E6" s="9">
        <f>SUM('Budget &amp; Forecast'!$C$11:$C$16)/SUM('Budget &amp; Forecast'!$B$11:$B$16)</f>
        <v>0.42</v>
      </c>
      <c r="F6" s="9"/>
      <c r="G6" s="10">
        <f>COUNTIF(RAIDD!$H$6:$H$15,"Open")+COUNTIF(RAIDD!$H$6:$H$15,"At Risk")</f>
        <v>8</v>
      </c>
      <c r="H6" s="10"/>
      <c r="I6" s="10" t="str">
        <f>"Week "&amp;MAX('Quality Gates'!$F$6:$F$12)</f>
        <v>Week 12</v>
      </c>
      <c r="J6" s="10"/>
      <c r="K6" s="10" t="str">
        <f>COUNTIF('Quality Gates'!$G$6:$G$12,"Complete")&amp;" of 7"</f>
        <v>1 of 7</v>
      </c>
      <c r="L6" s="10"/>
    </row>
    <row r="7" spans="1:12">
      <c r="A7" s="11" t="s">
        <v>8</v>
      </c>
      <c r="B7" s="11"/>
      <c r="C7" s="11" t="s">
        <v>9</v>
      </c>
      <c r="D7" s="11"/>
      <c r="E7" s="11" t="s">
        <v>10</v>
      </c>
      <c r="F7" s="11"/>
      <c r="G7" s="11" t="s">
        <v>11</v>
      </c>
      <c r="H7" s="11"/>
      <c r="I7" s="11" t="s">
        <v>12</v>
      </c>
      <c r="J7" s="11"/>
      <c r="K7" s="11" t="s">
        <v>13</v>
      </c>
      <c r="L7" s="11"/>
    </row>
    <row r="8" spans="1:12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ht="20">
      <c r="A10" s="20" t="s">
        <v>14</v>
      </c>
      <c r="B10" s="20"/>
      <c r="C10" s="20"/>
      <c r="D10" s="20"/>
      <c r="E10" s="20"/>
      <c r="F10" s="20"/>
      <c r="G10" s="20" t="s">
        <v>15</v>
      </c>
      <c r="H10" s="20"/>
      <c r="I10" s="20"/>
      <c r="J10" s="20"/>
      <c r="K10" s="20"/>
      <c r="L10" s="20"/>
    </row>
    <row r="11" spans="1:12">
      <c r="A11" s="18" t="s">
        <v>16</v>
      </c>
      <c r="B11" s="18"/>
      <c r="C11" s="18"/>
      <c r="D11" s="18"/>
      <c r="E11" s="18"/>
      <c r="F11" s="18"/>
      <c r="G11" s="19" t="s">
        <v>17</v>
      </c>
      <c r="H11" s="19"/>
      <c r="I11" s="19"/>
      <c r="J11" s="19"/>
      <c r="K11" s="19"/>
      <c r="L11" s="19"/>
    </row>
    <row r="12" spans="1:12">
      <c r="A12" s="18"/>
      <c r="B12" s="18"/>
      <c r="C12" s="18"/>
      <c r="D12" s="18"/>
      <c r="E12" s="18"/>
      <c r="F12" s="18"/>
      <c r="G12" s="19"/>
      <c r="H12" s="19"/>
      <c r="I12" s="19"/>
      <c r="J12" s="19"/>
      <c r="K12" s="19"/>
      <c r="L12" s="19"/>
    </row>
    <row r="13" spans="1:12">
      <c r="A13" s="18"/>
      <c r="B13" s="18"/>
      <c r="C13" s="18"/>
      <c r="D13" s="18"/>
      <c r="E13" s="18"/>
      <c r="F13" s="18"/>
      <c r="G13" s="19"/>
      <c r="H13" s="19"/>
      <c r="I13" s="19"/>
      <c r="J13" s="19"/>
      <c r="K13" s="19"/>
      <c r="L13" s="19"/>
    </row>
    <row r="14" spans="1:12">
      <c r="A14" s="18"/>
      <c r="B14" s="18"/>
      <c r="C14" s="18"/>
      <c r="D14" s="18"/>
      <c r="E14" s="18"/>
      <c r="F14" s="18"/>
      <c r="G14" s="19"/>
      <c r="H14" s="19"/>
      <c r="I14" s="19"/>
      <c r="J14" s="19"/>
      <c r="K14" s="19"/>
      <c r="L14" s="19"/>
    </row>
    <row r="15" spans="1:12">
      <c r="A15" s="18"/>
      <c r="B15" s="18"/>
      <c r="C15" s="18"/>
      <c r="D15" s="18"/>
      <c r="E15" s="18"/>
      <c r="F15" s="18"/>
      <c r="G15" s="19"/>
      <c r="H15" s="19"/>
      <c r="I15" s="19"/>
      <c r="J15" s="19"/>
      <c r="K15" s="19"/>
      <c r="L15" s="19"/>
    </row>
    <row r="16" spans="1:1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ht="20">
      <c r="A17" s="20" t="s">
        <v>18</v>
      </c>
      <c r="B17" s="20"/>
      <c r="C17" s="20"/>
      <c r="D17" s="20"/>
      <c r="E17" s="20"/>
      <c r="F17" s="20"/>
      <c r="G17" s="20" t="s">
        <v>19</v>
      </c>
      <c r="H17" s="20"/>
      <c r="I17" s="20"/>
      <c r="J17" s="20"/>
      <c r="K17" s="20"/>
      <c r="L17" s="20"/>
    </row>
    <row r="18" spans="1:12" ht="16">
      <c r="A18" s="12" t="s">
        <v>20</v>
      </c>
      <c r="B18" s="12" t="s">
        <v>21</v>
      </c>
      <c r="C18" s="12" t="s">
        <v>22</v>
      </c>
      <c r="D18" s="12" t="s">
        <v>23</v>
      </c>
      <c r="E18" s="12" t="s">
        <v>24</v>
      </c>
      <c r="F18" s="12" t="s">
        <v>25</v>
      </c>
      <c r="G18" s="12" t="s">
        <v>26</v>
      </c>
      <c r="H18" s="12" t="s">
        <v>27</v>
      </c>
      <c r="I18" s="12" t="s">
        <v>28</v>
      </c>
      <c r="J18" s="12" t="s">
        <v>29</v>
      </c>
      <c r="K18" s="12" t="s">
        <v>25</v>
      </c>
      <c r="L18" s="12" t="s">
        <v>30</v>
      </c>
    </row>
    <row r="19" spans="1:12" ht="48">
      <c r="A19" s="13" t="s">
        <v>31</v>
      </c>
      <c r="B19" s="13" t="s">
        <v>32</v>
      </c>
      <c r="C19" s="13" t="s">
        <v>33</v>
      </c>
      <c r="D19" s="13" t="s">
        <v>34</v>
      </c>
      <c r="E19" s="13" t="s">
        <v>35</v>
      </c>
      <c r="F19" s="13" t="s">
        <v>36</v>
      </c>
      <c r="G19" s="13" t="s">
        <v>37</v>
      </c>
      <c r="H19" s="13" t="s">
        <v>38</v>
      </c>
      <c r="I19" s="13" t="s">
        <v>38</v>
      </c>
      <c r="J19" s="13" t="s">
        <v>39</v>
      </c>
      <c r="K19" s="13" t="s">
        <v>36</v>
      </c>
      <c r="L19" s="13" t="s">
        <v>40</v>
      </c>
    </row>
    <row r="20" spans="1:12" ht="48">
      <c r="A20" s="13" t="s">
        <v>41</v>
      </c>
      <c r="B20" s="13" t="s">
        <v>42</v>
      </c>
      <c r="C20" s="13" t="s">
        <v>43</v>
      </c>
      <c r="D20" s="13" t="s">
        <v>44</v>
      </c>
      <c r="E20" s="13" t="s">
        <v>45</v>
      </c>
      <c r="F20" s="13" t="s">
        <v>46</v>
      </c>
      <c r="G20" s="13" t="s">
        <v>47</v>
      </c>
      <c r="H20" s="13" t="s">
        <v>48</v>
      </c>
      <c r="I20" s="13" t="s">
        <v>48</v>
      </c>
      <c r="J20" s="13" t="s">
        <v>49</v>
      </c>
      <c r="K20" s="13" t="s">
        <v>46</v>
      </c>
      <c r="L20" s="13" t="s">
        <v>50</v>
      </c>
    </row>
    <row r="21" spans="1:12" ht="64">
      <c r="A21" s="13" t="s">
        <v>51</v>
      </c>
      <c r="B21" s="13" t="s">
        <v>566</v>
      </c>
      <c r="C21" s="13" t="s">
        <v>567</v>
      </c>
      <c r="D21" s="13" t="s">
        <v>53</v>
      </c>
      <c r="E21" s="13" t="s">
        <v>54</v>
      </c>
      <c r="F21" s="13" t="s">
        <v>55</v>
      </c>
      <c r="G21" s="13" t="s">
        <v>56</v>
      </c>
      <c r="H21" s="13" t="s">
        <v>57</v>
      </c>
      <c r="I21" s="13" t="s">
        <v>57</v>
      </c>
      <c r="J21" s="13" t="s">
        <v>58</v>
      </c>
      <c r="K21" s="13" t="s">
        <v>55</v>
      </c>
      <c r="L21" s="13" t="s">
        <v>59</v>
      </c>
    </row>
    <row r="22" spans="1:12" ht="48">
      <c r="A22" s="13" t="s">
        <v>60</v>
      </c>
      <c r="B22" s="13" t="s">
        <v>568</v>
      </c>
      <c r="C22" s="13" t="s">
        <v>569</v>
      </c>
      <c r="D22" s="13" t="s">
        <v>62</v>
      </c>
      <c r="E22" s="13" t="s">
        <v>63</v>
      </c>
      <c r="F22" s="13" t="s">
        <v>55</v>
      </c>
      <c r="G22" s="13" t="s">
        <v>64</v>
      </c>
      <c r="H22" s="13" t="s">
        <v>65</v>
      </c>
      <c r="I22" s="13" t="s">
        <v>66</v>
      </c>
      <c r="J22" s="13" t="s">
        <v>67</v>
      </c>
      <c r="K22" s="13" t="s">
        <v>68</v>
      </c>
      <c r="L22" s="13" t="s">
        <v>570</v>
      </c>
    </row>
    <row r="23" spans="1:12" ht="48">
      <c r="A23" s="13" t="s">
        <v>69</v>
      </c>
      <c r="B23" s="13" t="s">
        <v>70</v>
      </c>
      <c r="C23" s="13" t="s">
        <v>33</v>
      </c>
      <c r="D23" s="13" t="s">
        <v>71</v>
      </c>
      <c r="E23" s="13" t="s">
        <v>72</v>
      </c>
      <c r="F23" s="13" t="s">
        <v>73</v>
      </c>
      <c r="G23" s="13" t="s">
        <v>74</v>
      </c>
      <c r="H23" s="13" t="s">
        <v>75</v>
      </c>
      <c r="I23" s="13" t="s">
        <v>76</v>
      </c>
      <c r="J23" s="13" t="s">
        <v>77</v>
      </c>
      <c r="K23" s="13" t="s">
        <v>73</v>
      </c>
      <c r="L23" s="13" t="s">
        <v>78</v>
      </c>
    </row>
    <row r="24" spans="1:1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spans="1:12" ht="20">
      <c r="A26" s="20" t="s">
        <v>79</v>
      </c>
      <c r="B26" s="20"/>
      <c r="C26" s="20"/>
      <c r="D26" s="20"/>
      <c r="E26" s="20" t="s">
        <v>80</v>
      </c>
      <c r="F26" s="20"/>
      <c r="G26" s="20"/>
      <c r="H26" s="20"/>
      <c r="I26" s="20"/>
      <c r="J26" s="20"/>
      <c r="K26" s="20"/>
      <c r="L26" s="20"/>
    </row>
    <row r="27" spans="1:12" ht="16">
      <c r="A27" s="12" t="s">
        <v>25</v>
      </c>
      <c r="B27" s="12" t="s">
        <v>81</v>
      </c>
      <c r="C27" s="7"/>
      <c r="D27" s="7"/>
      <c r="E27" s="12" t="s">
        <v>82</v>
      </c>
      <c r="F27" s="12" t="s">
        <v>83</v>
      </c>
      <c r="G27" s="14"/>
      <c r="H27" s="14"/>
      <c r="I27" s="14"/>
      <c r="J27" s="14"/>
      <c r="K27" s="14"/>
      <c r="L27" s="14"/>
    </row>
    <row r="28" spans="1:12" ht="16">
      <c r="A28" s="15" t="s">
        <v>36</v>
      </c>
      <c r="B28" s="15">
        <f>COUNTIF('Work Packages'!$I$6:$I$20,"Complete")</f>
        <v>4</v>
      </c>
      <c r="C28" s="7"/>
      <c r="D28" s="7"/>
      <c r="E28" s="21" t="s">
        <v>84</v>
      </c>
      <c r="F28" s="23" t="s">
        <v>85</v>
      </c>
      <c r="G28" s="23"/>
      <c r="H28" s="23"/>
      <c r="I28" s="23"/>
      <c r="J28" s="23"/>
      <c r="K28" s="23"/>
      <c r="L28" s="23"/>
    </row>
    <row r="29" spans="1:12" ht="16">
      <c r="A29" s="15" t="s">
        <v>55</v>
      </c>
      <c r="B29" s="15">
        <f>COUNTIF('Work Packages'!$I$6:$I$20,"In Progress")</f>
        <v>2</v>
      </c>
      <c r="C29" s="7"/>
      <c r="D29" s="7"/>
      <c r="E29" s="21" t="s">
        <v>86</v>
      </c>
      <c r="F29" s="23" t="s">
        <v>87</v>
      </c>
      <c r="G29" s="23"/>
      <c r="H29" s="23"/>
      <c r="I29" s="23"/>
      <c r="J29" s="23"/>
      <c r="K29" s="23"/>
      <c r="L29" s="23"/>
    </row>
    <row r="30" spans="1:12" ht="16">
      <c r="A30" s="15" t="s">
        <v>46</v>
      </c>
      <c r="B30" s="15">
        <f>COUNTIF('Work Packages'!$I$6:$I$20,"At Risk")</f>
        <v>2</v>
      </c>
      <c r="C30" s="7"/>
      <c r="D30" s="7"/>
      <c r="E30" s="21" t="s">
        <v>88</v>
      </c>
      <c r="F30" s="23" t="s">
        <v>89</v>
      </c>
      <c r="G30" s="23"/>
      <c r="H30" s="23"/>
      <c r="I30" s="23"/>
      <c r="J30" s="23"/>
      <c r="K30" s="23"/>
      <c r="L30" s="23"/>
    </row>
    <row r="31" spans="1:12" ht="16">
      <c r="A31" s="15" t="s">
        <v>73</v>
      </c>
      <c r="B31" s="15">
        <f>COUNTIF('Work Packages'!$I$6:$I$20,"Not Started")</f>
        <v>7</v>
      </c>
      <c r="C31" s="7"/>
      <c r="D31" s="7"/>
      <c r="E31" s="21" t="s">
        <v>90</v>
      </c>
      <c r="F31" s="23" t="s">
        <v>91</v>
      </c>
      <c r="G31" s="23"/>
      <c r="H31" s="23"/>
      <c r="I31" s="23"/>
      <c r="J31" s="23"/>
      <c r="K31" s="23"/>
      <c r="L31" s="23"/>
    </row>
    <row r="32" spans="1:12" ht="32">
      <c r="A32" s="7"/>
      <c r="B32" s="7"/>
      <c r="C32" s="7"/>
      <c r="D32" s="7"/>
      <c r="E32" s="21" t="s">
        <v>92</v>
      </c>
      <c r="F32" s="23" t="s">
        <v>93</v>
      </c>
      <c r="G32" s="23"/>
      <c r="H32" s="23"/>
      <c r="I32" s="23"/>
      <c r="J32" s="23"/>
      <c r="K32" s="23"/>
      <c r="L32" s="23"/>
    </row>
    <row r="33" spans="1:12" ht="20">
      <c r="A33" s="20" t="s">
        <v>94</v>
      </c>
      <c r="B33" s="20"/>
      <c r="C33" s="20"/>
      <c r="D33" s="20"/>
      <c r="E33" s="21" t="s">
        <v>95</v>
      </c>
      <c r="F33" s="23" t="s">
        <v>96</v>
      </c>
      <c r="G33" s="23"/>
      <c r="H33" s="23"/>
      <c r="I33" s="23"/>
      <c r="J33" s="23"/>
      <c r="K33" s="23"/>
      <c r="L33" s="23"/>
    </row>
    <row r="34" spans="1:12" ht="16">
      <c r="A34" s="12" t="s">
        <v>97</v>
      </c>
      <c r="B34" s="12" t="s">
        <v>98</v>
      </c>
      <c r="C34" s="7"/>
      <c r="D34" s="7"/>
      <c r="E34" s="21" t="s">
        <v>99</v>
      </c>
      <c r="F34" s="23" t="s">
        <v>100</v>
      </c>
      <c r="G34" s="23"/>
      <c r="H34" s="23"/>
      <c r="I34" s="23"/>
      <c r="J34" s="23"/>
      <c r="K34" s="23"/>
      <c r="L34" s="23"/>
    </row>
    <row r="35" spans="1:12" ht="16">
      <c r="A35" s="15" t="s">
        <v>101</v>
      </c>
      <c r="B35" s="16">
        <f>SUM('Budget &amp; Forecast'!$B$11:$B$16)</f>
        <v>600000</v>
      </c>
      <c r="C35" s="7"/>
      <c r="D35" s="7"/>
      <c r="E35" s="21" t="s">
        <v>102</v>
      </c>
      <c r="F35" s="23" t="s">
        <v>103</v>
      </c>
      <c r="G35" s="23"/>
      <c r="H35" s="23"/>
      <c r="I35" s="23"/>
      <c r="J35" s="23"/>
      <c r="K35" s="23"/>
      <c r="L35" s="23"/>
    </row>
    <row r="36" spans="1:12" ht="16">
      <c r="A36" s="15" t="s">
        <v>104</v>
      </c>
      <c r="B36" s="16">
        <f>SUM('Budget &amp; Forecast'!$C$11:$C$16)</f>
        <v>252000</v>
      </c>
      <c r="C36" s="7"/>
      <c r="D36" s="7"/>
      <c r="E36" s="21" t="s">
        <v>105</v>
      </c>
      <c r="F36" s="23" t="s">
        <v>106</v>
      </c>
      <c r="G36" s="23"/>
      <c r="H36" s="23"/>
      <c r="I36" s="23"/>
      <c r="J36" s="23"/>
      <c r="K36" s="23"/>
      <c r="L36" s="23"/>
    </row>
    <row r="37" spans="1:12" ht="16">
      <c r="A37" s="15" t="s">
        <v>107</v>
      </c>
      <c r="B37" s="16">
        <f>SUM('Budget &amp; Forecast'!$D$11:$D$16)</f>
        <v>585000</v>
      </c>
      <c r="C37" s="7"/>
      <c r="D37" s="7"/>
      <c r="E37" s="22"/>
      <c r="F37" s="22"/>
      <c r="G37" s="22"/>
      <c r="H37" s="22"/>
      <c r="I37" s="22"/>
      <c r="J37" s="22"/>
      <c r="K37" s="22"/>
      <c r="L37" s="22"/>
    </row>
    <row r="38" spans="1:12" ht="16">
      <c r="A38" s="15" t="s">
        <v>108</v>
      </c>
      <c r="B38" s="16">
        <f>B37-B36</f>
        <v>333000</v>
      </c>
      <c r="C38" s="7"/>
      <c r="D38" s="7"/>
      <c r="E38" s="7"/>
      <c r="F38" s="7"/>
      <c r="G38" s="7"/>
      <c r="H38" s="7"/>
      <c r="I38" s="7"/>
      <c r="J38" s="7"/>
      <c r="K38" s="7"/>
      <c r="L38" s="7"/>
    </row>
    <row r="39" spans="1:12" ht="26">
      <c r="A39" s="24" t="s">
        <v>109</v>
      </c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</row>
  </sheetData>
  <mergeCells count="40">
    <mergeCell ref="F34:L34"/>
    <mergeCell ref="F35:L35"/>
    <mergeCell ref="F36:L36"/>
    <mergeCell ref="A26:D26"/>
    <mergeCell ref="A33:D33"/>
    <mergeCell ref="E26:L26"/>
    <mergeCell ref="F28:L28"/>
    <mergeCell ref="F29:L29"/>
    <mergeCell ref="F30:L30"/>
    <mergeCell ref="F31:L31"/>
    <mergeCell ref="F32:L32"/>
    <mergeCell ref="F33:L33"/>
    <mergeCell ref="A10:F10"/>
    <mergeCell ref="A11:F15"/>
    <mergeCell ref="G10:L10"/>
    <mergeCell ref="G11:L15"/>
    <mergeCell ref="A17:F17"/>
    <mergeCell ref="G17:L17"/>
    <mergeCell ref="I5:J5"/>
    <mergeCell ref="I6:J6"/>
    <mergeCell ref="I7:J7"/>
    <mergeCell ref="K5:L5"/>
    <mergeCell ref="K6:L6"/>
    <mergeCell ref="K7:L7"/>
    <mergeCell ref="A1:L1"/>
    <mergeCell ref="A2:L2"/>
    <mergeCell ref="A3:L3"/>
    <mergeCell ref="A39:L39"/>
    <mergeCell ref="A5:B5"/>
    <mergeCell ref="A6:B6"/>
    <mergeCell ref="A7:B7"/>
    <mergeCell ref="C5:D5"/>
    <mergeCell ref="C6:D6"/>
    <mergeCell ref="C7:D7"/>
    <mergeCell ref="E5:F5"/>
    <mergeCell ref="E6:F6"/>
    <mergeCell ref="E7:F7"/>
    <mergeCell ref="G5:H5"/>
    <mergeCell ref="G6:H6"/>
    <mergeCell ref="G7:H7"/>
  </mergeCells>
  <conditionalFormatting sqref="A28:A31">
    <cfRule type="expression" dxfId="149" priority="67">
      <formula>A28="Complete"</formula>
    </cfRule>
    <cfRule type="expression" dxfId="148" priority="68">
      <formula>A28="On Track"</formula>
    </cfRule>
    <cfRule type="expression" dxfId="147" priority="69">
      <formula>A28="Approved"</formula>
    </cfRule>
    <cfRule type="expression" dxfId="146" priority="70">
      <formula>A28="Confirmed"</formula>
    </cfRule>
    <cfRule type="expression" dxfId="145" priority="71">
      <formula>A28="Available"</formula>
    </cfRule>
    <cfRule type="expression" dxfId="144" priority="72">
      <formula>A28="In Progress"</formula>
    </cfRule>
    <cfRule type="expression" dxfId="143" priority="73">
      <formula>A28="Watch"</formula>
    </cfRule>
    <cfRule type="expression" dxfId="142" priority="74">
      <formula>A28="Pending"</formula>
    </cfRule>
    <cfRule type="expression" dxfId="141" priority="75">
      <formula>A28="Open"</formula>
    </cfRule>
    <cfRule type="expression" dxfId="140" priority="76">
      <formula>A28="At Risk"</formula>
    </cfRule>
    <cfRule type="expression" dxfId="139" priority="77">
      <formula>A28="Critical"</formula>
    </cfRule>
    <cfRule type="expression" dxfId="138" priority="78">
      <formula>A28="Not Started"</formula>
    </cfRule>
    <cfRule type="expression" dxfId="137" priority="79">
      <formula>A28="In Review"</formula>
    </cfRule>
  </conditionalFormatting>
  <conditionalFormatting sqref="B28:B31">
    <cfRule type="dataBar" priority="40">
      <dataBar>
        <cfvo type="min"/>
        <cfvo type="max"/>
        <color rgb="FFB4873E"/>
      </dataBar>
    </cfRule>
    <cfRule type="dataBar" priority="80">
      <dataBar>
        <cfvo type="min"/>
        <cfvo type="max"/>
        <color rgb="FFB4873E"/>
      </dataBar>
      <extLst>
        <ext xmlns:x14="http://schemas.microsoft.com/office/spreadsheetml/2009/9/main" uri="{B025F937-C7B1-47D3-B67F-A62EFF666E3E}">
          <x14:id>{7092003B-33F4-6CB2-F316-E829576CC42D}</x14:id>
        </ext>
      </extLst>
    </cfRule>
  </conditionalFormatting>
  <conditionalFormatting sqref="F19:F23">
    <cfRule type="expression" dxfId="136" priority="41">
      <formula>F19="Complete"</formula>
    </cfRule>
    <cfRule type="expression" dxfId="135" priority="42">
      <formula>F19="On Track"</formula>
    </cfRule>
    <cfRule type="expression" dxfId="134" priority="43">
      <formula>F19="Approved"</formula>
    </cfRule>
    <cfRule type="expression" dxfId="133" priority="44">
      <formula>F19="Confirmed"</formula>
    </cfRule>
    <cfRule type="expression" dxfId="132" priority="45">
      <formula>F19="Available"</formula>
    </cfRule>
    <cfRule type="expression" dxfId="131" priority="46">
      <formula>F19="In Progress"</formula>
    </cfRule>
    <cfRule type="expression" dxfId="130" priority="47">
      <formula>F19="Watch"</formula>
    </cfRule>
    <cfRule type="expression" dxfId="129" priority="48">
      <formula>F19="Pending"</formula>
    </cfRule>
    <cfRule type="expression" dxfId="128" priority="49">
      <formula>F19="Open"</formula>
    </cfRule>
    <cfRule type="expression" dxfId="127" priority="50">
      <formula>F19="At Risk"</formula>
    </cfRule>
    <cfRule type="expression" dxfId="126" priority="51">
      <formula>F19="Critical"</formula>
    </cfRule>
    <cfRule type="expression" dxfId="125" priority="52">
      <formula>F19="Not Started"</formula>
    </cfRule>
    <cfRule type="expression" dxfId="124" priority="53">
      <formula>F19="In Review"</formula>
    </cfRule>
  </conditionalFormatting>
  <conditionalFormatting sqref="K19:K23">
    <cfRule type="expression" dxfId="123" priority="54">
      <formula>K19="Complete"</formula>
    </cfRule>
    <cfRule type="expression" dxfId="122" priority="55">
      <formula>K19="On Track"</formula>
    </cfRule>
    <cfRule type="expression" dxfId="121" priority="56">
      <formula>K19="Approved"</formula>
    </cfRule>
    <cfRule type="expression" dxfId="120" priority="57">
      <formula>K19="Confirmed"</formula>
    </cfRule>
    <cfRule type="expression" dxfId="119" priority="58">
      <formula>K19="Available"</formula>
    </cfRule>
    <cfRule type="expression" dxfId="118" priority="59">
      <formula>K19="In Progress"</formula>
    </cfRule>
    <cfRule type="expression" dxfId="117" priority="60">
      <formula>K19="Watch"</formula>
    </cfRule>
    <cfRule type="expression" dxfId="116" priority="61">
      <formula>K19="Pending"</formula>
    </cfRule>
    <cfRule type="expression" dxfId="115" priority="62">
      <formula>K19="Open"</formula>
    </cfRule>
    <cfRule type="expression" dxfId="114" priority="63">
      <formula>K19="At Risk"</formula>
    </cfRule>
    <cfRule type="expression" dxfId="113" priority="64">
      <formula>K19="Critical"</formula>
    </cfRule>
    <cfRule type="expression" dxfId="112" priority="65">
      <formula>K19="Not Started"</formula>
    </cfRule>
    <cfRule type="expression" dxfId="111" priority="66">
      <formula>K19="In Review"</formula>
    </cfRule>
  </conditionalFormatting>
  <pageMargins left="0.7" right="0.7" top="0.75" bottom="0.75" header="0.3" footer="0.3"/>
  <pageSetup scale="42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92003B-33F4-6CB2-F316-E829576CC42D}">
            <x14:dataBar>
              <x14:cfvo type="min"/>
              <x14:cfvo type="max"/>
              <x14:negativeFillColor auto="1"/>
              <x14:axisColor auto="1"/>
            </x14:dataBar>
          </x14:cfRule>
          <xm:sqref>B28:B31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30"/>
  <sheetViews>
    <sheetView showGridLines="0" workbookViewId="0">
      <selection sqref="A1:K30"/>
    </sheetView>
  </sheetViews>
  <sheetFormatPr baseColWidth="10" defaultColWidth="8.83203125" defaultRowHeight="15"/>
  <cols>
    <col min="1" max="1" width="18.5" bestFit="1" customWidth="1"/>
    <col min="2" max="2" width="22" bestFit="1" customWidth="1"/>
    <col min="3" max="3" width="24.83203125" bestFit="1" customWidth="1"/>
    <col min="4" max="4" width="18" customWidth="1"/>
    <col min="5" max="5" width="32.5" bestFit="1" customWidth="1"/>
    <col min="6" max="6" width="3" customWidth="1"/>
    <col min="7" max="7" width="15.5" bestFit="1" customWidth="1"/>
    <col min="8" max="8" width="22.5" bestFit="1" customWidth="1"/>
    <col min="9" max="9" width="24.1640625" bestFit="1" customWidth="1"/>
    <col min="10" max="10" width="18" customWidth="1"/>
    <col min="11" max="11" width="33.33203125" bestFit="1" customWidth="1"/>
  </cols>
  <sheetData>
    <row r="1" spans="1:11" ht="42.75" customHeight="1">
      <c r="A1" s="26" t="s">
        <v>84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29.25" customHeight="1">
      <c r="A2" s="28" t="s">
        <v>110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3" spans="1:11" ht="6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29.25" customHeight="1">
      <c r="A5" s="29" t="s">
        <v>111</v>
      </c>
      <c r="B5" s="29"/>
      <c r="C5" s="29"/>
      <c r="D5" s="29"/>
      <c r="E5" s="29"/>
      <c r="F5" s="29"/>
      <c r="G5" s="29"/>
      <c r="H5" s="29"/>
      <c r="I5" s="29"/>
      <c r="J5" s="29"/>
      <c r="K5" s="29"/>
    </row>
    <row r="6" spans="1:11" ht="21">
      <c r="A6" s="63" t="s">
        <v>112</v>
      </c>
      <c r="B6" s="64" t="s">
        <v>0</v>
      </c>
      <c r="C6" s="65"/>
      <c r="D6" s="63" t="s">
        <v>113</v>
      </c>
      <c r="E6" s="62" t="s">
        <v>572</v>
      </c>
      <c r="F6" s="62"/>
      <c r="G6" s="62"/>
      <c r="H6" s="62"/>
      <c r="I6" s="62"/>
      <c r="J6" s="62"/>
      <c r="K6" s="62"/>
    </row>
    <row r="7" spans="1:11" ht="21">
      <c r="A7" s="63" t="s">
        <v>114</v>
      </c>
      <c r="B7" s="64" t="s">
        <v>115</v>
      </c>
      <c r="C7" s="65"/>
      <c r="D7" s="63" t="s">
        <v>23</v>
      </c>
      <c r="E7" s="62" t="s">
        <v>573</v>
      </c>
      <c r="F7" s="62"/>
      <c r="G7" s="62"/>
      <c r="H7" s="62"/>
      <c r="I7" s="62"/>
      <c r="J7" s="62"/>
      <c r="K7" s="62"/>
    </row>
    <row r="8" spans="1:11" ht="21">
      <c r="A8" s="63" t="s">
        <v>116</v>
      </c>
      <c r="B8" s="64" t="s">
        <v>117</v>
      </c>
      <c r="C8" s="65"/>
      <c r="D8" s="63" t="s">
        <v>118</v>
      </c>
      <c r="E8" s="62" t="s">
        <v>119</v>
      </c>
      <c r="F8" s="62"/>
      <c r="G8" s="62"/>
      <c r="H8" s="62"/>
      <c r="I8" s="62"/>
      <c r="J8" s="62"/>
      <c r="K8" s="62"/>
    </row>
    <row r="9" spans="1:11" ht="42">
      <c r="A9" s="63" t="s">
        <v>33</v>
      </c>
      <c r="B9" s="64" t="s">
        <v>120</v>
      </c>
      <c r="C9" s="65"/>
      <c r="D9" s="63" t="s">
        <v>121</v>
      </c>
      <c r="E9" s="62" t="s">
        <v>122</v>
      </c>
      <c r="F9" s="62"/>
      <c r="G9" s="62"/>
      <c r="H9" s="62"/>
      <c r="I9" s="62"/>
      <c r="J9" s="62"/>
      <c r="K9" s="62"/>
    </row>
    <row r="10" spans="1:11" ht="42">
      <c r="A10" s="63" t="s">
        <v>123</v>
      </c>
      <c r="B10" s="64" t="s">
        <v>124</v>
      </c>
      <c r="C10" s="65"/>
      <c r="D10" s="63" t="s">
        <v>125</v>
      </c>
      <c r="E10" s="62" t="s">
        <v>574</v>
      </c>
      <c r="F10" s="62"/>
      <c r="G10" s="62"/>
      <c r="H10" s="62"/>
      <c r="I10" s="62"/>
      <c r="J10" s="62"/>
      <c r="K10" s="62"/>
    </row>
    <row r="11" spans="1:11" ht="21">
      <c r="A11" s="63" t="s">
        <v>101</v>
      </c>
      <c r="B11" s="64" t="s">
        <v>126</v>
      </c>
      <c r="C11" s="65"/>
      <c r="D11" s="63" t="s">
        <v>127</v>
      </c>
      <c r="E11" s="62" t="s">
        <v>128</v>
      </c>
      <c r="F11" s="62"/>
      <c r="G11" s="62"/>
      <c r="H11" s="62"/>
      <c r="I11" s="62"/>
      <c r="J11" s="62"/>
      <c r="K11" s="62"/>
    </row>
    <row r="12" spans="1:11" ht="42">
      <c r="A12" s="63" t="s">
        <v>129</v>
      </c>
      <c r="B12" s="64" t="s">
        <v>571</v>
      </c>
      <c r="C12" s="65"/>
      <c r="D12" s="63" t="s">
        <v>130</v>
      </c>
      <c r="E12" s="62" t="s">
        <v>131</v>
      </c>
      <c r="F12" s="62"/>
      <c r="G12" s="62"/>
      <c r="H12" s="62"/>
      <c r="I12" s="62"/>
      <c r="J12" s="62"/>
      <c r="K12" s="62"/>
    </row>
    <row r="13" spans="1:1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</row>
    <row r="14" spans="1:1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</row>
    <row r="15" spans="1:11" ht="21">
      <c r="A15" s="35" t="s">
        <v>132</v>
      </c>
      <c r="B15" s="35"/>
      <c r="C15" s="35"/>
      <c r="D15" s="35"/>
      <c r="E15" s="35"/>
      <c r="F15" s="32"/>
      <c r="G15" s="35" t="s">
        <v>133</v>
      </c>
      <c r="H15" s="35"/>
      <c r="I15" s="35"/>
      <c r="J15" s="35"/>
      <c r="K15" s="35"/>
    </row>
    <row r="16" spans="1:11" ht="19">
      <c r="A16" s="66" t="s">
        <v>134</v>
      </c>
      <c r="B16" s="67" t="s">
        <v>135</v>
      </c>
      <c r="C16" s="67"/>
      <c r="D16" s="67"/>
      <c r="E16" s="67"/>
      <c r="F16" s="32"/>
      <c r="G16" s="68" t="s">
        <v>136</v>
      </c>
      <c r="H16" s="67" t="s">
        <v>137</v>
      </c>
      <c r="I16" s="67"/>
      <c r="J16" s="67"/>
      <c r="K16" s="67"/>
    </row>
    <row r="17" spans="1:11" ht="19">
      <c r="A17" s="66" t="s">
        <v>134</v>
      </c>
      <c r="B17" s="67" t="s">
        <v>138</v>
      </c>
      <c r="C17" s="67"/>
      <c r="D17" s="67"/>
      <c r="E17" s="67"/>
      <c r="F17" s="32"/>
      <c r="G17" s="68" t="s">
        <v>136</v>
      </c>
      <c r="H17" s="67" t="s">
        <v>139</v>
      </c>
      <c r="I17" s="67"/>
      <c r="J17" s="67"/>
      <c r="K17" s="67"/>
    </row>
    <row r="18" spans="1:11" ht="19">
      <c r="A18" s="66" t="s">
        <v>134</v>
      </c>
      <c r="B18" s="67" t="s">
        <v>140</v>
      </c>
      <c r="C18" s="67"/>
      <c r="D18" s="67"/>
      <c r="E18" s="67"/>
      <c r="F18" s="32"/>
      <c r="G18" s="68" t="s">
        <v>136</v>
      </c>
      <c r="H18" s="67" t="s">
        <v>141</v>
      </c>
      <c r="I18" s="67"/>
      <c r="J18" s="67"/>
      <c r="K18" s="67"/>
    </row>
    <row r="19" spans="1:11" ht="19">
      <c r="A19" s="66" t="s">
        <v>134</v>
      </c>
      <c r="B19" s="67" t="s">
        <v>142</v>
      </c>
      <c r="C19" s="67"/>
      <c r="D19" s="67"/>
      <c r="E19" s="67"/>
      <c r="F19" s="32"/>
      <c r="G19" s="68" t="s">
        <v>136</v>
      </c>
      <c r="H19" s="67" t="s">
        <v>143</v>
      </c>
      <c r="I19" s="67"/>
      <c r="J19" s="67"/>
      <c r="K19" s="67"/>
    </row>
    <row r="20" spans="1:11" ht="19">
      <c r="A20" s="66" t="s">
        <v>134</v>
      </c>
      <c r="B20" s="67" t="s">
        <v>144</v>
      </c>
      <c r="C20" s="67"/>
      <c r="D20" s="67"/>
      <c r="E20" s="67"/>
      <c r="F20" s="32"/>
      <c r="G20" s="68" t="s">
        <v>136</v>
      </c>
      <c r="H20" s="67" t="s">
        <v>145</v>
      </c>
      <c r="I20" s="67"/>
      <c r="J20" s="67"/>
      <c r="K20" s="67"/>
    </row>
    <row r="21" spans="1:1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</row>
    <row r="22" spans="1:1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</row>
    <row r="23" spans="1:11" ht="21">
      <c r="A23" s="35" t="s">
        <v>146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</row>
    <row r="24" spans="1:11" ht="19">
      <c r="A24" s="34" t="s">
        <v>147</v>
      </c>
      <c r="B24" s="34" t="s">
        <v>148</v>
      </c>
      <c r="C24" s="34" t="s">
        <v>149</v>
      </c>
      <c r="D24" s="34" t="s">
        <v>150</v>
      </c>
      <c r="E24" s="34" t="s">
        <v>151</v>
      </c>
      <c r="F24" s="34"/>
      <c r="G24" s="34" t="s">
        <v>147</v>
      </c>
      <c r="H24" s="34" t="s">
        <v>148</v>
      </c>
      <c r="I24" s="34" t="s">
        <v>149</v>
      </c>
      <c r="J24" s="34" t="s">
        <v>150</v>
      </c>
      <c r="K24" s="34" t="s">
        <v>151</v>
      </c>
    </row>
    <row r="25" spans="1:11" ht="38">
      <c r="A25" s="69" t="s">
        <v>152</v>
      </c>
      <c r="B25" s="69" t="s">
        <v>153</v>
      </c>
      <c r="C25" s="69" t="s">
        <v>154</v>
      </c>
      <c r="D25" s="69" t="s">
        <v>155</v>
      </c>
      <c r="E25" s="69" t="s">
        <v>156</v>
      </c>
      <c r="F25" s="69"/>
      <c r="G25" s="69" t="s">
        <v>33</v>
      </c>
      <c r="H25" s="69" t="s">
        <v>157</v>
      </c>
      <c r="I25" s="69" t="s">
        <v>158</v>
      </c>
      <c r="J25" s="69" t="s">
        <v>159</v>
      </c>
      <c r="K25" s="69" t="s">
        <v>160</v>
      </c>
    </row>
    <row r="26" spans="1:11" ht="38">
      <c r="A26" s="69" t="s">
        <v>52</v>
      </c>
      <c r="B26" s="69" t="s">
        <v>161</v>
      </c>
      <c r="C26" s="69" t="s">
        <v>162</v>
      </c>
      <c r="D26" s="69" t="s">
        <v>163</v>
      </c>
      <c r="E26" s="69" t="s">
        <v>164</v>
      </c>
      <c r="F26" s="69"/>
      <c r="G26" s="69" t="s">
        <v>43</v>
      </c>
      <c r="H26" s="69" t="s">
        <v>165</v>
      </c>
      <c r="I26" s="69" t="s">
        <v>166</v>
      </c>
      <c r="J26" s="69" t="s">
        <v>167</v>
      </c>
      <c r="K26" s="69" t="s">
        <v>168</v>
      </c>
    </row>
    <row r="27" spans="1:11" ht="38">
      <c r="A27" s="69" t="s">
        <v>61</v>
      </c>
      <c r="B27" s="69" t="s">
        <v>169</v>
      </c>
      <c r="C27" s="69" t="s">
        <v>170</v>
      </c>
      <c r="D27" s="69" t="s">
        <v>171</v>
      </c>
      <c r="E27" s="69" t="s">
        <v>172</v>
      </c>
      <c r="F27" s="69"/>
      <c r="G27" s="69" t="s">
        <v>173</v>
      </c>
      <c r="H27" s="69" t="s">
        <v>174</v>
      </c>
      <c r="I27" s="69" t="s">
        <v>175</v>
      </c>
      <c r="J27" s="69" t="s">
        <v>176</v>
      </c>
      <c r="K27" s="69" t="s">
        <v>177</v>
      </c>
    </row>
    <row r="28" spans="1:11" ht="57">
      <c r="A28" s="69" t="s">
        <v>178</v>
      </c>
      <c r="B28" s="69" t="s">
        <v>179</v>
      </c>
      <c r="C28" s="69" t="s">
        <v>180</v>
      </c>
      <c r="D28" s="69" t="s">
        <v>181</v>
      </c>
      <c r="E28" s="69" t="s">
        <v>182</v>
      </c>
      <c r="F28" s="69"/>
      <c r="G28" s="69" t="s">
        <v>183</v>
      </c>
      <c r="H28" s="69" t="s">
        <v>184</v>
      </c>
      <c r="I28" s="69" t="s">
        <v>185</v>
      </c>
      <c r="J28" s="69" t="s">
        <v>186</v>
      </c>
      <c r="K28" s="69" t="s">
        <v>187</v>
      </c>
    </row>
    <row r="29" spans="1:11" ht="38">
      <c r="A29" s="69" t="s">
        <v>188</v>
      </c>
      <c r="B29" s="69" t="s">
        <v>189</v>
      </c>
      <c r="C29" s="69" t="s">
        <v>190</v>
      </c>
      <c r="D29" s="69" t="s">
        <v>181</v>
      </c>
      <c r="E29" s="69" t="s">
        <v>191</v>
      </c>
      <c r="F29" s="69"/>
      <c r="G29" s="69" t="s">
        <v>192</v>
      </c>
      <c r="H29" s="69" t="s">
        <v>193</v>
      </c>
      <c r="I29" s="69" t="s">
        <v>194</v>
      </c>
      <c r="J29" s="69" t="s">
        <v>195</v>
      </c>
      <c r="K29" s="69" t="s">
        <v>196</v>
      </c>
    </row>
    <row r="30" spans="1:11" ht="24" customHeight="1">
      <c r="A30" s="33" t="s">
        <v>109</v>
      </c>
      <c r="B30" s="33"/>
      <c r="C30" s="33"/>
      <c r="D30" s="33"/>
      <c r="E30" s="33"/>
      <c r="F30" s="33"/>
      <c r="G30" s="33"/>
      <c r="H30" s="33"/>
      <c r="I30" s="33"/>
      <c r="J30" s="33"/>
      <c r="K30" s="33"/>
    </row>
  </sheetData>
  <mergeCells count="32">
    <mergeCell ref="A23:K23"/>
    <mergeCell ref="B17:E17"/>
    <mergeCell ref="B18:E18"/>
    <mergeCell ref="B19:E19"/>
    <mergeCell ref="B20:E20"/>
    <mergeCell ref="G15:K15"/>
    <mergeCell ref="H16:K16"/>
    <mergeCell ref="H17:K17"/>
    <mergeCell ref="H18:K18"/>
    <mergeCell ref="H19:K19"/>
    <mergeCell ref="H20:K20"/>
    <mergeCell ref="E11:K11"/>
    <mergeCell ref="B12:C12"/>
    <mergeCell ref="E12:K12"/>
    <mergeCell ref="A15:E15"/>
    <mergeCell ref="B16:E16"/>
    <mergeCell ref="A1:K1"/>
    <mergeCell ref="A2:K2"/>
    <mergeCell ref="A3:K3"/>
    <mergeCell ref="A30:K30"/>
    <mergeCell ref="A5:K5"/>
    <mergeCell ref="B6:C6"/>
    <mergeCell ref="E6:K6"/>
    <mergeCell ref="B7:C7"/>
    <mergeCell ref="E7:K7"/>
    <mergeCell ref="B8:C8"/>
    <mergeCell ref="E8:K8"/>
    <mergeCell ref="B9:C9"/>
    <mergeCell ref="E9:K9"/>
    <mergeCell ref="B10:C10"/>
    <mergeCell ref="E10:K10"/>
    <mergeCell ref="B11:C11"/>
  </mergeCells>
  <pageMargins left="0.7" right="0.7" top="0.75" bottom="0.75" header="0.3" footer="0.3"/>
  <pageSetup scale="49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21"/>
  <sheetViews>
    <sheetView showGridLines="0" zoomScale="90" zoomScaleNormal="90" workbookViewId="0">
      <selection sqref="A1:N21"/>
    </sheetView>
  </sheetViews>
  <sheetFormatPr baseColWidth="10" defaultColWidth="8.83203125" defaultRowHeight="15"/>
  <cols>
    <col min="1" max="2" width="15" customWidth="1"/>
    <col min="3" max="3" width="39" customWidth="1"/>
    <col min="4" max="4" width="20" customWidth="1"/>
    <col min="5" max="5" width="14" customWidth="1"/>
    <col min="6" max="8" width="12" customWidth="1"/>
    <col min="9" max="9" width="16" customWidth="1"/>
    <col min="10" max="11" width="17" customWidth="1"/>
    <col min="12" max="12" width="25" customWidth="1"/>
    <col min="13" max="13" width="16" customWidth="1"/>
    <col min="14" max="14" width="42" customWidth="1"/>
  </cols>
  <sheetData>
    <row r="1" spans="1:14" ht="42.75" customHeight="1">
      <c r="A1" s="25" t="s">
        <v>197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29.25" customHeight="1">
      <c r="A2" s="27" t="s">
        <v>198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spans="1:14" ht="6.75" customHeight="1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</row>
    <row r="4" spans="1:14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ht="45.25" customHeight="1">
      <c r="A5" s="39" t="s">
        <v>199</v>
      </c>
      <c r="B5" s="39" t="s">
        <v>200</v>
      </c>
      <c r="C5" s="39" t="s">
        <v>201</v>
      </c>
      <c r="D5" s="39" t="s">
        <v>22</v>
      </c>
      <c r="E5" s="39" t="s">
        <v>202</v>
      </c>
      <c r="F5" s="39" t="s">
        <v>203</v>
      </c>
      <c r="G5" s="39" t="s">
        <v>204</v>
      </c>
      <c r="H5" s="39" t="s">
        <v>205</v>
      </c>
      <c r="I5" s="39" t="s">
        <v>25</v>
      </c>
      <c r="J5" s="39" t="s">
        <v>206</v>
      </c>
      <c r="K5" s="39" t="s">
        <v>207</v>
      </c>
      <c r="L5" s="39" t="s">
        <v>29</v>
      </c>
      <c r="M5" s="39" t="s">
        <v>208</v>
      </c>
      <c r="N5" s="39" t="s">
        <v>209</v>
      </c>
    </row>
    <row r="6" spans="1:14" ht="45.25" customHeight="1">
      <c r="A6" s="31" t="s">
        <v>210</v>
      </c>
      <c r="B6" s="31" t="s">
        <v>211</v>
      </c>
      <c r="C6" s="31" t="s">
        <v>212</v>
      </c>
      <c r="D6" s="31" t="s">
        <v>173</v>
      </c>
      <c r="E6" s="37">
        <v>5</v>
      </c>
      <c r="F6" s="37">
        <v>1</v>
      </c>
      <c r="G6" s="37">
        <v>1</v>
      </c>
      <c r="H6" s="38">
        <v>0.05</v>
      </c>
      <c r="I6" s="31" t="s">
        <v>36</v>
      </c>
      <c r="J6" s="38">
        <v>1</v>
      </c>
      <c r="K6" s="38">
        <f t="shared" ref="K6:K20" si="0">H6*J6</f>
        <v>0.05</v>
      </c>
      <c r="L6" s="31" t="s">
        <v>213</v>
      </c>
      <c r="M6" s="31" t="s">
        <v>214</v>
      </c>
      <c r="N6" s="31" t="s">
        <v>215</v>
      </c>
    </row>
    <row r="7" spans="1:14" ht="45.25" customHeight="1">
      <c r="A7" s="31" t="s">
        <v>216</v>
      </c>
      <c r="B7" s="31" t="s">
        <v>211</v>
      </c>
      <c r="C7" s="31" t="s">
        <v>217</v>
      </c>
      <c r="D7" s="31" t="s">
        <v>152</v>
      </c>
      <c r="E7" s="37">
        <v>3</v>
      </c>
      <c r="F7" s="37">
        <v>1</v>
      </c>
      <c r="G7" s="37">
        <v>1</v>
      </c>
      <c r="H7" s="38">
        <v>0.05</v>
      </c>
      <c r="I7" s="31" t="s">
        <v>36</v>
      </c>
      <c r="J7" s="38">
        <v>1</v>
      </c>
      <c r="K7" s="38">
        <f t="shared" si="0"/>
        <v>0.05</v>
      </c>
      <c r="L7" s="31" t="s">
        <v>210</v>
      </c>
      <c r="M7" s="31" t="s">
        <v>214</v>
      </c>
      <c r="N7" s="31" t="s">
        <v>218</v>
      </c>
    </row>
    <row r="8" spans="1:14" ht="45.25" customHeight="1">
      <c r="A8" s="31" t="s">
        <v>219</v>
      </c>
      <c r="B8" s="31" t="s">
        <v>220</v>
      </c>
      <c r="C8" s="31" t="s">
        <v>221</v>
      </c>
      <c r="D8" s="31" t="s">
        <v>33</v>
      </c>
      <c r="E8" s="37">
        <v>5</v>
      </c>
      <c r="F8" s="37">
        <v>1</v>
      </c>
      <c r="G8" s="37">
        <v>2</v>
      </c>
      <c r="H8" s="38">
        <v>7.0000000000000007E-2</v>
      </c>
      <c r="I8" s="31" t="s">
        <v>36</v>
      </c>
      <c r="J8" s="38">
        <v>1</v>
      </c>
      <c r="K8" s="38">
        <f t="shared" si="0"/>
        <v>7.0000000000000007E-2</v>
      </c>
      <c r="L8" s="31" t="s">
        <v>210</v>
      </c>
      <c r="M8" s="31" t="s">
        <v>214</v>
      </c>
      <c r="N8" s="31" t="s">
        <v>222</v>
      </c>
    </row>
    <row r="9" spans="1:14" ht="45.25" customHeight="1">
      <c r="A9" s="31" t="s">
        <v>223</v>
      </c>
      <c r="B9" s="31" t="s">
        <v>220</v>
      </c>
      <c r="C9" s="31" t="s">
        <v>224</v>
      </c>
      <c r="D9" s="31" t="s">
        <v>43</v>
      </c>
      <c r="E9" s="37">
        <v>7</v>
      </c>
      <c r="F9" s="37">
        <v>2</v>
      </c>
      <c r="G9" s="37">
        <v>3</v>
      </c>
      <c r="H9" s="38">
        <v>0.08</v>
      </c>
      <c r="I9" s="31" t="s">
        <v>46</v>
      </c>
      <c r="J9" s="38">
        <v>0.85</v>
      </c>
      <c r="K9" s="38">
        <f t="shared" si="0"/>
        <v>6.8000000000000005E-2</v>
      </c>
      <c r="L9" s="31" t="s">
        <v>219</v>
      </c>
      <c r="M9" s="31" t="s">
        <v>225</v>
      </c>
      <c r="N9" s="31" t="s">
        <v>226</v>
      </c>
    </row>
    <row r="10" spans="1:14" ht="45.25" customHeight="1">
      <c r="A10" s="31" t="s">
        <v>227</v>
      </c>
      <c r="B10" s="31" t="s">
        <v>220</v>
      </c>
      <c r="C10" s="31" t="s">
        <v>228</v>
      </c>
      <c r="D10" s="31" t="s">
        <v>52</v>
      </c>
      <c r="E10" s="37">
        <v>6</v>
      </c>
      <c r="F10" s="37">
        <v>2</v>
      </c>
      <c r="G10" s="37">
        <v>3</v>
      </c>
      <c r="H10" s="38">
        <v>0.08</v>
      </c>
      <c r="I10" s="31" t="s">
        <v>36</v>
      </c>
      <c r="J10" s="38">
        <v>1</v>
      </c>
      <c r="K10" s="38">
        <f t="shared" si="0"/>
        <v>0.08</v>
      </c>
      <c r="L10" s="31" t="s">
        <v>219</v>
      </c>
      <c r="M10" s="31" t="s">
        <v>214</v>
      </c>
      <c r="N10" s="31" t="s">
        <v>229</v>
      </c>
    </row>
    <row r="11" spans="1:14" ht="45.25" customHeight="1">
      <c r="A11" s="31" t="s">
        <v>230</v>
      </c>
      <c r="B11" s="31" t="s">
        <v>231</v>
      </c>
      <c r="C11" s="31" t="s">
        <v>232</v>
      </c>
      <c r="D11" s="31" t="s">
        <v>52</v>
      </c>
      <c r="E11" s="37">
        <v>20</v>
      </c>
      <c r="F11" s="37">
        <v>4</v>
      </c>
      <c r="G11" s="37">
        <v>7</v>
      </c>
      <c r="H11" s="38">
        <v>0.1</v>
      </c>
      <c r="I11" s="31" t="s">
        <v>55</v>
      </c>
      <c r="J11" s="38">
        <v>0.6</v>
      </c>
      <c r="K11" s="38">
        <f t="shared" si="0"/>
        <v>0.06</v>
      </c>
      <c r="L11" s="31" t="s">
        <v>227</v>
      </c>
      <c r="M11" s="31" t="s">
        <v>225</v>
      </c>
      <c r="N11" s="31" t="s">
        <v>233</v>
      </c>
    </row>
    <row r="12" spans="1:14" ht="45.25" customHeight="1">
      <c r="A12" s="31" t="s">
        <v>234</v>
      </c>
      <c r="B12" s="31" t="s">
        <v>231</v>
      </c>
      <c r="C12" s="31" t="s">
        <v>235</v>
      </c>
      <c r="D12" s="31" t="s">
        <v>173</v>
      </c>
      <c r="E12" s="37">
        <v>20</v>
      </c>
      <c r="F12" s="37">
        <v>4</v>
      </c>
      <c r="G12" s="37">
        <v>8</v>
      </c>
      <c r="H12" s="38">
        <v>0.1</v>
      </c>
      <c r="I12" s="31" t="s">
        <v>46</v>
      </c>
      <c r="J12" s="38">
        <v>0.35</v>
      </c>
      <c r="K12" s="38">
        <f t="shared" si="0"/>
        <v>3.4999999999999996E-2</v>
      </c>
      <c r="L12" s="31" t="s">
        <v>223</v>
      </c>
      <c r="M12" s="31" t="s">
        <v>236</v>
      </c>
      <c r="N12" s="31" t="s">
        <v>237</v>
      </c>
    </row>
    <row r="13" spans="1:14" ht="45.25" customHeight="1">
      <c r="A13" s="31" t="s">
        <v>238</v>
      </c>
      <c r="B13" s="31" t="s">
        <v>231</v>
      </c>
      <c r="C13" s="31" t="s">
        <v>239</v>
      </c>
      <c r="D13" s="31" t="s">
        <v>52</v>
      </c>
      <c r="E13" s="37">
        <v>16</v>
      </c>
      <c r="F13" s="37">
        <v>5</v>
      </c>
      <c r="G13" s="37">
        <v>8</v>
      </c>
      <c r="H13" s="38">
        <v>0.08</v>
      </c>
      <c r="I13" s="31" t="s">
        <v>55</v>
      </c>
      <c r="J13" s="38">
        <v>0.1</v>
      </c>
      <c r="K13" s="38">
        <f t="shared" si="0"/>
        <v>8.0000000000000002E-3</v>
      </c>
      <c r="L13" s="31" t="s">
        <v>230</v>
      </c>
      <c r="M13" s="31" t="s">
        <v>225</v>
      </c>
      <c r="N13" s="31" t="s">
        <v>240</v>
      </c>
    </row>
    <row r="14" spans="1:14" ht="45.25" customHeight="1">
      <c r="A14" s="31" t="s">
        <v>241</v>
      </c>
      <c r="B14" s="31" t="s">
        <v>242</v>
      </c>
      <c r="C14" s="31" t="s">
        <v>243</v>
      </c>
      <c r="D14" s="31" t="s">
        <v>173</v>
      </c>
      <c r="E14" s="37">
        <v>15</v>
      </c>
      <c r="F14" s="37">
        <v>7</v>
      </c>
      <c r="G14" s="37">
        <v>9</v>
      </c>
      <c r="H14" s="38">
        <v>0.1</v>
      </c>
      <c r="I14" s="31" t="s">
        <v>73</v>
      </c>
      <c r="J14" s="38">
        <v>0</v>
      </c>
      <c r="K14" s="38">
        <f t="shared" si="0"/>
        <v>0</v>
      </c>
      <c r="L14" s="31" t="s">
        <v>234</v>
      </c>
      <c r="M14" s="31" t="s">
        <v>236</v>
      </c>
      <c r="N14" s="31" t="s">
        <v>244</v>
      </c>
    </row>
    <row r="15" spans="1:14" ht="45.25" customHeight="1">
      <c r="A15" s="31" t="s">
        <v>245</v>
      </c>
      <c r="B15" s="31" t="s">
        <v>242</v>
      </c>
      <c r="C15" s="31" t="s">
        <v>246</v>
      </c>
      <c r="D15" s="31" t="s">
        <v>173</v>
      </c>
      <c r="E15" s="37">
        <v>10</v>
      </c>
      <c r="F15" s="37">
        <v>8</v>
      </c>
      <c r="G15" s="37">
        <v>9</v>
      </c>
      <c r="H15" s="38">
        <v>0.08</v>
      </c>
      <c r="I15" s="31" t="s">
        <v>73</v>
      </c>
      <c r="J15" s="38">
        <v>0</v>
      </c>
      <c r="K15" s="38">
        <f t="shared" si="0"/>
        <v>0</v>
      </c>
      <c r="L15" s="31" t="s">
        <v>241</v>
      </c>
      <c r="M15" s="31" t="s">
        <v>236</v>
      </c>
      <c r="N15" s="31" t="s">
        <v>247</v>
      </c>
    </row>
    <row r="16" spans="1:14" ht="45.25" customHeight="1">
      <c r="A16" s="31" t="s">
        <v>248</v>
      </c>
      <c r="B16" s="31" t="s">
        <v>60</v>
      </c>
      <c r="C16" s="31" t="s">
        <v>249</v>
      </c>
      <c r="D16" s="31" t="s">
        <v>61</v>
      </c>
      <c r="E16" s="37">
        <v>8</v>
      </c>
      <c r="F16" s="37">
        <v>9</v>
      </c>
      <c r="G16" s="37">
        <v>10</v>
      </c>
      <c r="H16" s="38">
        <v>7.0000000000000007E-2</v>
      </c>
      <c r="I16" s="31" t="s">
        <v>73</v>
      </c>
      <c r="J16" s="38">
        <v>0</v>
      </c>
      <c r="K16" s="38">
        <f t="shared" si="0"/>
        <v>0</v>
      </c>
      <c r="L16" s="31" t="s">
        <v>238</v>
      </c>
      <c r="M16" s="31" t="s">
        <v>236</v>
      </c>
      <c r="N16" s="31" t="s">
        <v>250</v>
      </c>
    </row>
    <row r="17" spans="1:14" ht="45.25" customHeight="1">
      <c r="A17" s="31" t="s">
        <v>251</v>
      </c>
      <c r="B17" s="31" t="s">
        <v>60</v>
      </c>
      <c r="C17" s="31" t="s">
        <v>252</v>
      </c>
      <c r="D17" s="31" t="s">
        <v>52</v>
      </c>
      <c r="E17" s="37">
        <v>7</v>
      </c>
      <c r="F17" s="37">
        <v>9</v>
      </c>
      <c r="G17" s="37">
        <v>10</v>
      </c>
      <c r="H17" s="38">
        <v>0.05</v>
      </c>
      <c r="I17" s="31" t="s">
        <v>73</v>
      </c>
      <c r="J17" s="38">
        <v>0</v>
      </c>
      <c r="K17" s="38">
        <f t="shared" si="0"/>
        <v>0</v>
      </c>
      <c r="L17" s="31" t="s">
        <v>248</v>
      </c>
      <c r="M17" s="31" t="s">
        <v>225</v>
      </c>
      <c r="N17" s="31" t="s">
        <v>253</v>
      </c>
    </row>
    <row r="18" spans="1:14" ht="45.25" customHeight="1">
      <c r="A18" s="31" t="s">
        <v>254</v>
      </c>
      <c r="B18" s="31" t="s">
        <v>255</v>
      </c>
      <c r="C18" s="31" t="s">
        <v>256</v>
      </c>
      <c r="D18" s="31" t="s">
        <v>61</v>
      </c>
      <c r="E18" s="37">
        <v>6</v>
      </c>
      <c r="F18" s="37">
        <v>10</v>
      </c>
      <c r="G18" s="37">
        <v>11</v>
      </c>
      <c r="H18" s="38">
        <v>0.04</v>
      </c>
      <c r="I18" s="31" t="s">
        <v>73</v>
      </c>
      <c r="J18" s="38">
        <v>0</v>
      </c>
      <c r="K18" s="38">
        <f t="shared" si="0"/>
        <v>0</v>
      </c>
      <c r="L18" s="31" t="s">
        <v>251</v>
      </c>
      <c r="M18" s="31" t="s">
        <v>236</v>
      </c>
      <c r="N18" s="31" t="s">
        <v>257</v>
      </c>
    </row>
    <row r="19" spans="1:14" ht="45.25" customHeight="1">
      <c r="A19" s="31" t="s">
        <v>258</v>
      </c>
      <c r="B19" s="31" t="s">
        <v>255</v>
      </c>
      <c r="C19" s="31" t="s">
        <v>259</v>
      </c>
      <c r="D19" s="31" t="s">
        <v>33</v>
      </c>
      <c r="E19" s="37">
        <v>5</v>
      </c>
      <c r="F19" s="37">
        <v>11</v>
      </c>
      <c r="G19" s="37">
        <v>12</v>
      </c>
      <c r="H19" s="38">
        <v>0.03</v>
      </c>
      <c r="I19" s="31" t="s">
        <v>73</v>
      </c>
      <c r="J19" s="38">
        <v>0</v>
      </c>
      <c r="K19" s="38">
        <f t="shared" si="0"/>
        <v>0</v>
      </c>
      <c r="L19" s="31" t="s">
        <v>254</v>
      </c>
      <c r="M19" s="31" t="s">
        <v>236</v>
      </c>
      <c r="N19" s="31" t="s">
        <v>260</v>
      </c>
    </row>
    <row r="20" spans="1:14" ht="46" customHeight="1">
      <c r="A20" s="31" t="s">
        <v>261</v>
      </c>
      <c r="B20" s="31" t="s">
        <v>69</v>
      </c>
      <c r="C20" s="31" t="s">
        <v>262</v>
      </c>
      <c r="D20" s="31" t="s">
        <v>152</v>
      </c>
      <c r="E20" s="37">
        <v>4</v>
      </c>
      <c r="F20" s="37">
        <v>12</v>
      </c>
      <c r="G20" s="37">
        <v>12</v>
      </c>
      <c r="H20" s="38">
        <v>0.02</v>
      </c>
      <c r="I20" s="31" t="s">
        <v>73</v>
      </c>
      <c r="J20" s="38">
        <v>0</v>
      </c>
      <c r="K20" s="38">
        <f t="shared" si="0"/>
        <v>0</v>
      </c>
      <c r="L20" s="31" t="s">
        <v>258</v>
      </c>
      <c r="M20" s="31" t="s">
        <v>236</v>
      </c>
      <c r="N20" s="31" t="s">
        <v>263</v>
      </c>
    </row>
    <row r="21" spans="1:14" ht="24" customHeight="1">
      <c r="A21" s="33" t="s">
        <v>109</v>
      </c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</row>
  </sheetData>
  <mergeCells count="4">
    <mergeCell ref="A1:N1"/>
    <mergeCell ref="A2:N2"/>
    <mergeCell ref="A3:N3"/>
    <mergeCell ref="A21:N21"/>
  </mergeCells>
  <conditionalFormatting sqref="I6:I20">
    <cfRule type="expression" dxfId="110" priority="15">
      <formula>I6="Complete"</formula>
    </cfRule>
    <cfRule type="expression" dxfId="109" priority="16">
      <formula>I6="On Track"</formula>
    </cfRule>
    <cfRule type="expression" dxfId="108" priority="17">
      <formula>I6="Approved"</formula>
    </cfRule>
    <cfRule type="expression" dxfId="107" priority="18">
      <formula>I6="Confirmed"</formula>
    </cfRule>
    <cfRule type="expression" dxfId="106" priority="19">
      <formula>I6="Available"</formula>
    </cfRule>
    <cfRule type="expression" dxfId="105" priority="20">
      <formula>I6="In Progress"</formula>
    </cfRule>
    <cfRule type="expression" dxfId="104" priority="21">
      <formula>I6="Watch"</formula>
    </cfRule>
    <cfRule type="expression" dxfId="103" priority="22">
      <formula>I6="Pending"</formula>
    </cfRule>
    <cfRule type="expression" dxfId="102" priority="23">
      <formula>I6="Open"</formula>
    </cfRule>
    <cfRule type="expression" dxfId="101" priority="24">
      <formula>I6="At Risk"</formula>
    </cfRule>
    <cfRule type="expression" dxfId="100" priority="25">
      <formula>I6="Critical"</formula>
    </cfRule>
    <cfRule type="expression" dxfId="99" priority="26">
      <formula>I6="Not Started"</formula>
    </cfRule>
    <cfRule type="expression" dxfId="98" priority="27">
      <formula>I6="In Review"</formula>
    </cfRule>
  </conditionalFormatting>
  <conditionalFormatting sqref="J6:J20">
    <cfRule type="dataBar" priority="28">
      <dataBar>
        <cfvo type="min"/>
        <cfvo type="max"/>
        <color rgb="FFB8946D"/>
      </dataBar>
    </cfRule>
    <cfRule type="dataBar" priority="29">
      <dataBar>
        <cfvo type="min"/>
        <cfvo type="max"/>
        <color rgb="FFB8946D"/>
      </dataBar>
      <extLst>
        <ext xmlns:x14="http://schemas.microsoft.com/office/spreadsheetml/2009/9/main" uri="{B025F937-C7B1-47D3-B67F-A62EFF666E3E}">
          <x14:id>{C4F470EC-495C-E09A-98DE-3288A7857CC6}</x14:id>
        </ext>
      </extLst>
    </cfRule>
  </conditionalFormatting>
  <dataValidations count="1">
    <dataValidation type="list" sqref="I6:I20" xr:uid="{00000000-0002-0000-0200-000000000000}">
      <formula1>"Complete,In Progress,At Risk,Not Started"</formula1>
    </dataValidation>
  </dataValidations>
  <pageMargins left="0.7" right="0.7" top="0.75" bottom="0.75" header="0.3" footer="0.3"/>
  <pageSetup scale="42" orientation="landscape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F470EC-495C-E09A-98DE-3288A7857CC6}">
            <x14:dataBar>
              <x14:cfvo type="min"/>
              <x14:cfvo type="max"/>
              <x14:negativeFillColor auto="1"/>
              <x14:axisColor auto="1"/>
            </x14:dataBar>
          </x14:cfRule>
          <xm:sqref>J6:J20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21"/>
  <sheetViews>
    <sheetView showGridLines="0" workbookViewId="0">
      <selection sqref="A1:S21"/>
    </sheetView>
  </sheetViews>
  <sheetFormatPr baseColWidth="10" defaultColWidth="8.83203125" defaultRowHeight="15"/>
  <cols>
    <col min="1" max="1" width="14" customWidth="1"/>
    <col min="2" max="2" width="42" customWidth="1"/>
    <col min="3" max="3" width="20" customWidth="1"/>
    <col min="4" max="5" width="12" customWidth="1"/>
    <col min="6" max="6" width="14" customWidth="1"/>
    <col min="7" max="7" width="16" customWidth="1"/>
    <col min="8" max="19" width="8" customWidth="1"/>
  </cols>
  <sheetData>
    <row r="1" spans="1:19" ht="42.75" customHeight="1">
      <c r="A1" s="25" t="s">
        <v>264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</row>
    <row r="2" spans="1:19" ht="29.25" customHeight="1">
      <c r="A2" s="27" t="s">
        <v>265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</row>
    <row r="3" spans="1:19" ht="6.75" customHeight="1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</row>
    <row r="4" spans="1:19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ht="37.25" customHeight="1">
      <c r="A5" s="39" t="s">
        <v>200</v>
      </c>
      <c r="B5" s="39" t="s">
        <v>266</v>
      </c>
      <c r="C5" s="39" t="s">
        <v>22</v>
      </c>
      <c r="D5" s="39" t="s">
        <v>203</v>
      </c>
      <c r="E5" s="39" t="s">
        <v>204</v>
      </c>
      <c r="F5" s="39" t="s">
        <v>202</v>
      </c>
      <c r="G5" s="39" t="s">
        <v>267</v>
      </c>
      <c r="H5" s="40">
        <v>1</v>
      </c>
      <c r="I5" s="40">
        <v>2</v>
      </c>
      <c r="J5" s="40">
        <v>3</v>
      </c>
      <c r="K5" s="40">
        <v>4</v>
      </c>
      <c r="L5" s="40">
        <v>5</v>
      </c>
      <c r="M5" s="40">
        <v>6</v>
      </c>
      <c r="N5" s="40">
        <v>7</v>
      </c>
      <c r="O5" s="40">
        <v>8</v>
      </c>
      <c r="P5" s="40">
        <v>9</v>
      </c>
      <c r="Q5" s="40">
        <v>10</v>
      </c>
      <c r="R5" s="40">
        <v>11</v>
      </c>
      <c r="S5" s="40">
        <v>12</v>
      </c>
    </row>
    <row r="6" spans="1:19" ht="37.25" customHeight="1">
      <c r="A6" s="31" t="s">
        <v>211</v>
      </c>
      <c r="B6" s="31" t="s">
        <v>268</v>
      </c>
      <c r="C6" s="31" t="s">
        <v>173</v>
      </c>
      <c r="D6" s="31">
        <v>1</v>
      </c>
      <c r="E6" s="31">
        <v>1</v>
      </c>
      <c r="F6" s="31">
        <v>5</v>
      </c>
      <c r="G6" s="31" t="s">
        <v>36</v>
      </c>
      <c r="H6" s="31" t="str">
        <f t="shared" ref="H6:S20" si="0">IF(AND(H$5&gt;=$D6,H$5&lt;=$E6),"●","")</f>
        <v>●</v>
      </c>
      <c r="I6" s="31" t="str">
        <f t="shared" si="0"/>
        <v/>
      </c>
      <c r="J6" s="31" t="str">
        <f t="shared" si="0"/>
        <v/>
      </c>
      <c r="K6" s="31" t="str">
        <f t="shared" si="0"/>
        <v/>
      </c>
      <c r="L6" s="31" t="str">
        <f t="shared" si="0"/>
        <v/>
      </c>
      <c r="M6" s="31" t="str">
        <f t="shared" si="0"/>
        <v/>
      </c>
      <c r="N6" s="31" t="str">
        <f t="shared" si="0"/>
        <v/>
      </c>
      <c r="O6" s="31" t="str">
        <f t="shared" si="0"/>
        <v/>
      </c>
      <c r="P6" s="31" t="str">
        <f t="shared" si="0"/>
        <v/>
      </c>
      <c r="Q6" s="31" t="str">
        <f t="shared" si="0"/>
        <v/>
      </c>
      <c r="R6" s="31" t="str">
        <f t="shared" si="0"/>
        <v/>
      </c>
      <c r="S6" s="31" t="str">
        <f t="shared" si="0"/>
        <v/>
      </c>
    </row>
    <row r="7" spans="1:19" ht="37.25" customHeight="1">
      <c r="A7" s="31" t="s">
        <v>211</v>
      </c>
      <c r="B7" s="31" t="s">
        <v>269</v>
      </c>
      <c r="C7" s="31" t="s">
        <v>152</v>
      </c>
      <c r="D7" s="31">
        <v>1</v>
      </c>
      <c r="E7" s="31">
        <v>1</v>
      </c>
      <c r="F7" s="31">
        <v>3</v>
      </c>
      <c r="G7" s="31" t="s">
        <v>36</v>
      </c>
      <c r="H7" s="31" t="str">
        <f t="shared" si="0"/>
        <v>●</v>
      </c>
      <c r="I7" s="31" t="str">
        <f t="shared" si="0"/>
        <v/>
      </c>
      <c r="J7" s="31" t="str">
        <f t="shared" si="0"/>
        <v/>
      </c>
      <c r="K7" s="31" t="str">
        <f t="shared" si="0"/>
        <v/>
      </c>
      <c r="L7" s="31" t="str">
        <f t="shared" si="0"/>
        <v/>
      </c>
      <c r="M7" s="31" t="str">
        <f t="shared" si="0"/>
        <v/>
      </c>
      <c r="N7" s="31" t="str">
        <f t="shared" si="0"/>
        <v/>
      </c>
      <c r="O7" s="31" t="str">
        <f t="shared" si="0"/>
        <v/>
      </c>
      <c r="P7" s="31" t="str">
        <f t="shared" si="0"/>
        <v/>
      </c>
      <c r="Q7" s="31" t="str">
        <f t="shared" si="0"/>
        <v/>
      </c>
      <c r="R7" s="31" t="str">
        <f t="shared" si="0"/>
        <v/>
      </c>
      <c r="S7" s="31" t="str">
        <f t="shared" si="0"/>
        <v/>
      </c>
    </row>
    <row r="8" spans="1:19" ht="37.25" customHeight="1">
      <c r="A8" s="31" t="s">
        <v>220</v>
      </c>
      <c r="B8" s="31" t="s">
        <v>270</v>
      </c>
      <c r="C8" s="31" t="s">
        <v>33</v>
      </c>
      <c r="D8" s="31">
        <v>1</v>
      </c>
      <c r="E8" s="31">
        <v>2</v>
      </c>
      <c r="F8" s="31">
        <v>5</v>
      </c>
      <c r="G8" s="31" t="s">
        <v>36</v>
      </c>
      <c r="H8" s="31" t="str">
        <f t="shared" si="0"/>
        <v>●</v>
      </c>
      <c r="I8" s="31" t="str">
        <f t="shared" si="0"/>
        <v>●</v>
      </c>
      <c r="J8" s="31" t="str">
        <f t="shared" si="0"/>
        <v/>
      </c>
      <c r="K8" s="31" t="str">
        <f t="shared" si="0"/>
        <v/>
      </c>
      <c r="L8" s="31" t="str">
        <f t="shared" si="0"/>
        <v/>
      </c>
      <c r="M8" s="31" t="str">
        <f t="shared" si="0"/>
        <v/>
      </c>
      <c r="N8" s="31" t="str">
        <f t="shared" si="0"/>
        <v/>
      </c>
      <c r="O8" s="31" t="str">
        <f t="shared" si="0"/>
        <v/>
      </c>
      <c r="P8" s="31" t="str">
        <f t="shared" si="0"/>
        <v/>
      </c>
      <c r="Q8" s="31" t="str">
        <f t="shared" si="0"/>
        <v/>
      </c>
      <c r="R8" s="31" t="str">
        <f t="shared" si="0"/>
        <v/>
      </c>
      <c r="S8" s="31" t="str">
        <f t="shared" si="0"/>
        <v/>
      </c>
    </row>
    <row r="9" spans="1:19" ht="37.25" customHeight="1">
      <c r="A9" s="31" t="s">
        <v>220</v>
      </c>
      <c r="B9" s="31" t="s">
        <v>271</v>
      </c>
      <c r="C9" s="31" t="s">
        <v>43</v>
      </c>
      <c r="D9" s="31">
        <v>2</v>
      </c>
      <c r="E9" s="31">
        <v>3</v>
      </c>
      <c r="F9" s="31">
        <v>7</v>
      </c>
      <c r="G9" s="31" t="s">
        <v>46</v>
      </c>
      <c r="H9" s="31" t="str">
        <f t="shared" si="0"/>
        <v/>
      </c>
      <c r="I9" s="31" t="str">
        <f t="shared" si="0"/>
        <v>●</v>
      </c>
      <c r="J9" s="31" t="str">
        <f t="shared" si="0"/>
        <v>●</v>
      </c>
      <c r="K9" s="31" t="str">
        <f t="shared" si="0"/>
        <v/>
      </c>
      <c r="L9" s="31" t="str">
        <f t="shared" si="0"/>
        <v/>
      </c>
      <c r="M9" s="31" t="str">
        <f t="shared" si="0"/>
        <v/>
      </c>
      <c r="N9" s="31" t="str">
        <f t="shared" si="0"/>
        <v/>
      </c>
      <c r="O9" s="31" t="str">
        <f t="shared" si="0"/>
        <v/>
      </c>
      <c r="P9" s="31" t="str">
        <f t="shared" si="0"/>
        <v/>
      </c>
      <c r="Q9" s="31" t="str">
        <f t="shared" si="0"/>
        <v/>
      </c>
      <c r="R9" s="31" t="str">
        <f t="shared" si="0"/>
        <v/>
      </c>
      <c r="S9" s="31" t="str">
        <f t="shared" si="0"/>
        <v/>
      </c>
    </row>
    <row r="10" spans="1:19" ht="37.25" customHeight="1">
      <c r="A10" s="31" t="s">
        <v>220</v>
      </c>
      <c r="B10" s="31" t="s">
        <v>272</v>
      </c>
      <c r="C10" s="31" t="s">
        <v>52</v>
      </c>
      <c r="D10" s="31">
        <v>2</v>
      </c>
      <c r="E10" s="31">
        <v>3</v>
      </c>
      <c r="F10" s="31">
        <v>6</v>
      </c>
      <c r="G10" s="31" t="s">
        <v>36</v>
      </c>
      <c r="H10" s="31" t="str">
        <f t="shared" si="0"/>
        <v/>
      </c>
      <c r="I10" s="31" t="str">
        <f t="shared" si="0"/>
        <v>●</v>
      </c>
      <c r="J10" s="31" t="str">
        <f t="shared" si="0"/>
        <v>●</v>
      </c>
      <c r="K10" s="31" t="str">
        <f t="shared" si="0"/>
        <v/>
      </c>
      <c r="L10" s="31" t="str">
        <f t="shared" si="0"/>
        <v/>
      </c>
      <c r="M10" s="31" t="str">
        <f t="shared" si="0"/>
        <v/>
      </c>
      <c r="N10" s="31" t="str">
        <f t="shared" si="0"/>
        <v/>
      </c>
      <c r="O10" s="31" t="str">
        <f t="shared" si="0"/>
        <v/>
      </c>
      <c r="P10" s="31" t="str">
        <f t="shared" si="0"/>
        <v/>
      </c>
      <c r="Q10" s="31" t="str">
        <f t="shared" si="0"/>
        <v/>
      </c>
      <c r="R10" s="31" t="str">
        <f t="shared" si="0"/>
        <v/>
      </c>
      <c r="S10" s="31" t="str">
        <f t="shared" si="0"/>
        <v/>
      </c>
    </row>
    <row r="11" spans="1:19" ht="37.25" customHeight="1">
      <c r="A11" s="31" t="s">
        <v>231</v>
      </c>
      <c r="B11" s="31" t="s">
        <v>232</v>
      </c>
      <c r="C11" s="31" t="s">
        <v>52</v>
      </c>
      <c r="D11" s="31">
        <v>4</v>
      </c>
      <c r="E11" s="31">
        <v>7</v>
      </c>
      <c r="F11" s="31">
        <v>20</v>
      </c>
      <c r="G11" s="31" t="s">
        <v>55</v>
      </c>
      <c r="H11" s="31" t="str">
        <f t="shared" si="0"/>
        <v/>
      </c>
      <c r="I11" s="31" t="str">
        <f t="shared" si="0"/>
        <v/>
      </c>
      <c r="J11" s="31" t="str">
        <f t="shared" si="0"/>
        <v/>
      </c>
      <c r="K11" s="31" t="str">
        <f t="shared" si="0"/>
        <v>●</v>
      </c>
      <c r="L11" s="31" t="str">
        <f t="shared" si="0"/>
        <v>●</v>
      </c>
      <c r="M11" s="31" t="str">
        <f t="shared" si="0"/>
        <v>●</v>
      </c>
      <c r="N11" s="31" t="str">
        <f t="shared" si="0"/>
        <v>●</v>
      </c>
      <c r="O11" s="31" t="str">
        <f t="shared" si="0"/>
        <v/>
      </c>
      <c r="P11" s="31" t="str">
        <f t="shared" si="0"/>
        <v/>
      </c>
      <c r="Q11" s="31" t="str">
        <f t="shared" si="0"/>
        <v/>
      </c>
      <c r="R11" s="31" t="str">
        <f t="shared" si="0"/>
        <v/>
      </c>
      <c r="S11" s="31" t="str">
        <f t="shared" si="0"/>
        <v/>
      </c>
    </row>
    <row r="12" spans="1:19" ht="37.25" customHeight="1">
      <c r="A12" s="31" t="s">
        <v>231</v>
      </c>
      <c r="B12" s="31" t="s">
        <v>235</v>
      </c>
      <c r="C12" s="31" t="s">
        <v>173</v>
      </c>
      <c r="D12" s="31">
        <v>4</v>
      </c>
      <c r="E12" s="31">
        <v>8</v>
      </c>
      <c r="F12" s="31">
        <v>20</v>
      </c>
      <c r="G12" s="31" t="s">
        <v>46</v>
      </c>
      <c r="H12" s="31" t="str">
        <f t="shared" si="0"/>
        <v/>
      </c>
      <c r="I12" s="31" t="str">
        <f t="shared" si="0"/>
        <v/>
      </c>
      <c r="J12" s="31" t="str">
        <f t="shared" si="0"/>
        <v/>
      </c>
      <c r="K12" s="31" t="str">
        <f t="shared" si="0"/>
        <v>●</v>
      </c>
      <c r="L12" s="31" t="str">
        <f t="shared" si="0"/>
        <v>●</v>
      </c>
      <c r="M12" s="31" t="str">
        <f t="shared" si="0"/>
        <v>●</v>
      </c>
      <c r="N12" s="31" t="str">
        <f t="shared" si="0"/>
        <v>●</v>
      </c>
      <c r="O12" s="31" t="str">
        <f t="shared" si="0"/>
        <v>●</v>
      </c>
      <c r="P12" s="31" t="str">
        <f t="shared" si="0"/>
        <v/>
      </c>
      <c r="Q12" s="31" t="str">
        <f t="shared" si="0"/>
        <v/>
      </c>
      <c r="R12" s="31" t="str">
        <f t="shared" si="0"/>
        <v/>
      </c>
      <c r="S12" s="31" t="str">
        <f t="shared" si="0"/>
        <v/>
      </c>
    </row>
    <row r="13" spans="1:19" ht="37.25" customHeight="1">
      <c r="A13" s="31" t="s">
        <v>231</v>
      </c>
      <c r="B13" s="31" t="s">
        <v>239</v>
      </c>
      <c r="C13" s="31" t="s">
        <v>52</v>
      </c>
      <c r="D13" s="31">
        <v>5</v>
      </c>
      <c r="E13" s="31">
        <v>8</v>
      </c>
      <c r="F13" s="31">
        <v>16</v>
      </c>
      <c r="G13" s="31" t="s">
        <v>55</v>
      </c>
      <c r="H13" s="31" t="str">
        <f t="shared" si="0"/>
        <v/>
      </c>
      <c r="I13" s="31" t="str">
        <f t="shared" si="0"/>
        <v/>
      </c>
      <c r="J13" s="31" t="str">
        <f t="shared" si="0"/>
        <v/>
      </c>
      <c r="K13" s="31" t="str">
        <f t="shared" si="0"/>
        <v/>
      </c>
      <c r="L13" s="31" t="str">
        <f t="shared" si="0"/>
        <v>●</v>
      </c>
      <c r="M13" s="31" t="str">
        <f t="shared" si="0"/>
        <v>●</v>
      </c>
      <c r="N13" s="31" t="str">
        <f t="shared" si="0"/>
        <v>●</v>
      </c>
      <c r="O13" s="31" t="str">
        <f t="shared" si="0"/>
        <v>●</v>
      </c>
      <c r="P13" s="31" t="str">
        <f t="shared" si="0"/>
        <v/>
      </c>
      <c r="Q13" s="31" t="str">
        <f t="shared" si="0"/>
        <v/>
      </c>
      <c r="R13" s="31" t="str">
        <f t="shared" si="0"/>
        <v/>
      </c>
      <c r="S13" s="31" t="str">
        <f t="shared" si="0"/>
        <v/>
      </c>
    </row>
    <row r="14" spans="1:19" ht="37.25" customHeight="1">
      <c r="A14" s="31" t="s">
        <v>242</v>
      </c>
      <c r="B14" s="31" t="s">
        <v>243</v>
      </c>
      <c r="C14" s="31" t="s">
        <v>173</v>
      </c>
      <c r="D14" s="31">
        <v>7</v>
      </c>
      <c r="E14" s="31">
        <v>9</v>
      </c>
      <c r="F14" s="31">
        <v>15</v>
      </c>
      <c r="G14" s="31" t="s">
        <v>73</v>
      </c>
      <c r="H14" s="31" t="str">
        <f t="shared" si="0"/>
        <v/>
      </c>
      <c r="I14" s="31" t="str">
        <f t="shared" si="0"/>
        <v/>
      </c>
      <c r="J14" s="31" t="str">
        <f t="shared" si="0"/>
        <v/>
      </c>
      <c r="K14" s="31" t="str">
        <f t="shared" si="0"/>
        <v/>
      </c>
      <c r="L14" s="31" t="str">
        <f t="shared" si="0"/>
        <v/>
      </c>
      <c r="M14" s="31" t="str">
        <f t="shared" si="0"/>
        <v/>
      </c>
      <c r="N14" s="31" t="str">
        <f t="shared" si="0"/>
        <v>●</v>
      </c>
      <c r="O14" s="31" t="str">
        <f t="shared" si="0"/>
        <v>●</v>
      </c>
      <c r="P14" s="31" t="str">
        <f t="shared" si="0"/>
        <v>●</v>
      </c>
      <c r="Q14" s="31" t="str">
        <f t="shared" si="0"/>
        <v/>
      </c>
      <c r="R14" s="31" t="str">
        <f t="shared" si="0"/>
        <v/>
      </c>
      <c r="S14" s="31" t="str">
        <f t="shared" si="0"/>
        <v/>
      </c>
    </row>
    <row r="15" spans="1:19" ht="37.25" customHeight="1">
      <c r="A15" s="31" t="s">
        <v>242</v>
      </c>
      <c r="B15" s="31" t="s">
        <v>273</v>
      </c>
      <c r="C15" s="31" t="s">
        <v>173</v>
      </c>
      <c r="D15" s="31">
        <v>8</v>
      </c>
      <c r="E15" s="31">
        <v>9</v>
      </c>
      <c r="F15" s="31">
        <v>10</v>
      </c>
      <c r="G15" s="31" t="s">
        <v>73</v>
      </c>
      <c r="H15" s="31" t="str">
        <f t="shared" si="0"/>
        <v/>
      </c>
      <c r="I15" s="31" t="str">
        <f t="shared" si="0"/>
        <v/>
      </c>
      <c r="J15" s="31" t="str">
        <f t="shared" si="0"/>
        <v/>
      </c>
      <c r="K15" s="31" t="str">
        <f t="shared" si="0"/>
        <v/>
      </c>
      <c r="L15" s="31" t="str">
        <f t="shared" si="0"/>
        <v/>
      </c>
      <c r="M15" s="31" t="str">
        <f t="shared" si="0"/>
        <v/>
      </c>
      <c r="N15" s="31" t="str">
        <f t="shared" si="0"/>
        <v/>
      </c>
      <c r="O15" s="31" t="str">
        <f t="shared" si="0"/>
        <v>●</v>
      </c>
      <c r="P15" s="31" t="str">
        <f t="shared" si="0"/>
        <v>●</v>
      </c>
      <c r="Q15" s="31" t="str">
        <f t="shared" si="0"/>
        <v/>
      </c>
      <c r="R15" s="31" t="str">
        <f t="shared" si="0"/>
        <v/>
      </c>
      <c r="S15" s="31" t="str">
        <f t="shared" si="0"/>
        <v/>
      </c>
    </row>
    <row r="16" spans="1:19" ht="37.25" customHeight="1">
      <c r="A16" s="31" t="s">
        <v>60</v>
      </c>
      <c r="B16" s="31" t="s">
        <v>274</v>
      </c>
      <c r="C16" s="31" t="s">
        <v>61</v>
      </c>
      <c r="D16" s="31">
        <v>9</v>
      </c>
      <c r="E16" s="31">
        <v>10</v>
      </c>
      <c r="F16" s="31">
        <v>8</v>
      </c>
      <c r="G16" s="31" t="s">
        <v>73</v>
      </c>
      <c r="H16" s="31" t="str">
        <f t="shared" si="0"/>
        <v/>
      </c>
      <c r="I16" s="31" t="str">
        <f t="shared" si="0"/>
        <v/>
      </c>
      <c r="J16" s="31" t="str">
        <f t="shared" si="0"/>
        <v/>
      </c>
      <c r="K16" s="31" t="str">
        <f t="shared" si="0"/>
        <v/>
      </c>
      <c r="L16" s="31" t="str">
        <f t="shared" si="0"/>
        <v/>
      </c>
      <c r="M16" s="31" t="str">
        <f t="shared" si="0"/>
        <v/>
      </c>
      <c r="N16" s="31" t="str">
        <f t="shared" si="0"/>
        <v/>
      </c>
      <c r="O16" s="31" t="str">
        <f t="shared" si="0"/>
        <v/>
      </c>
      <c r="P16" s="31" t="str">
        <f t="shared" si="0"/>
        <v>●</v>
      </c>
      <c r="Q16" s="31" t="str">
        <f t="shared" si="0"/>
        <v>●</v>
      </c>
      <c r="R16" s="31" t="str">
        <f t="shared" si="0"/>
        <v/>
      </c>
      <c r="S16" s="31" t="str">
        <f t="shared" si="0"/>
        <v/>
      </c>
    </row>
    <row r="17" spans="1:19" ht="37.25" customHeight="1">
      <c r="A17" s="31" t="s">
        <v>60</v>
      </c>
      <c r="B17" s="31" t="s">
        <v>275</v>
      </c>
      <c r="C17" s="31" t="s">
        <v>52</v>
      </c>
      <c r="D17" s="31">
        <v>9</v>
      </c>
      <c r="E17" s="31">
        <v>10</v>
      </c>
      <c r="F17" s="31">
        <v>7</v>
      </c>
      <c r="G17" s="31" t="s">
        <v>73</v>
      </c>
      <c r="H17" s="31" t="str">
        <f t="shared" si="0"/>
        <v/>
      </c>
      <c r="I17" s="31" t="str">
        <f t="shared" si="0"/>
        <v/>
      </c>
      <c r="J17" s="31" t="str">
        <f t="shared" si="0"/>
        <v/>
      </c>
      <c r="K17" s="31" t="str">
        <f t="shared" si="0"/>
        <v/>
      </c>
      <c r="L17" s="31" t="str">
        <f t="shared" si="0"/>
        <v/>
      </c>
      <c r="M17" s="31" t="str">
        <f t="shared" si="0"/>
        <v/>
      </c>
      <c r="N17" s="31" t="str">
        <f t="shared" si="0"/>
        <v/>
      </c>
      <c r="O17" s="31" t="str">
        <f t="shared" si="0"/>
        <v/>
      </c>
      <c r="P17" s="31" t="str">
        <f t="shared" si="0"/>
        <v>●</v>
      </c>
      <c r="Q17" s="31" t="str">
        <f t="shared" si="0"/>
        <v>●</v>
      </c>
      <c r="R17" s="31" t="str">
        <f t="shared" si="0"/>
        <v/>
      </c>
      <c r="S17" s="31" t="str">
        <f t="shared" si="0"/>
        <v/>
      </c>
    </row>
    <row r="18" spans="1:19" ht="37.25" customHeight="1">
      <c r="A18" s="31" t="s">
        <v>255</v>
      </c>
      <c r="B18" s="31" t="s">
        <v>256</v>
      </c>
      <c r="C18" s="31" t="s">
        <v>61</v>
      </c>
      <c r="D18" s="31">
        <v>10</v>
      </c>
      <c r="E18" s="31">
        <v>11</v>
      </c>
      <c r="F18" s="31">
        <v>6</v>
      </c>
      <c r="G18" s="31" t="s">
        <v>73</v>
      </c>
      <c r="H18" s="31" t="str">
        <f t="shared" si="0"/>
        <v/>
      </c>
      <c r="I18" s="31" t="str">
        <f t="shared" si="0"/>
        <v/>
      </c>
      <c r="J18" s="31" t="str">
        <f t="shared" si="0"/>
        <v/>
      </c>
      <c r="K18" s="31" t="str">
        <f t="shared" si="0"/>
        <v/>
      </c>
      <c r="L18" s="31" t="str">
        <f t="shared" si="0"/>
        <v/>
      </c>
      <c r="M18" s="31" t="str">
        <f t="shared" si="0"/>
        <v/>
      </c>
      <c r="N18" s="31" t="str">
        <f t="shared" si="0"/>
        <v/>
      </c>
      <c r="O18" s="31" t="str">
        <f t="shared" si="0"/>
        <v/>
      </c>
      <c r="P18" s="31" t="str">
        <f t="shared" si="0"/>
        <v/>
      </c>
      <c r="Q18" s="31" t="str">
        <f t="shared" si="0"/>
        <v>●</v>
      </c>
      <c r="R18" s="31" t="str">
        <f t="shared" si="0"/>
        <v>●</v>
      </c>
      <c r="S18" s="31" t="str">
        <f t="shared" si="0"/>
        <v/>
      </c>
    </row>
    <row r="19" spans="1:19" ht="37.25" customHeight="1">
      <c r="A19" s="31" t="s">
        <v>255</v>
      </c>
      <c r="B19" s="31" t="s">
        <v>276</v>
      </c>
      <c r="C19" s="31" t="s">
        <v>33</v>
      </c>
      <c r="D19" s="31">
        <v>11</v>
      </c>
      <c r="E19" s="31">
        <v>12</v>
      </c>
      <c r="F19" s="31">
        <v>5</v>
      </c>
      <c r="G19" s="31" t="s">
        <v>73</v>
      </c>
      <c r="H19" s="31" t="str">
        <f t="shared" si="0"/>
        <v/>
      </c>
      <c r="I19" s="31" t="str">
        <f t="shared" si="0"/>
        <v/>
      </c>
      <c r="J19" s="31" t="str">
        <f t="shared" si="0"/>
        <v/>
      </c>
      <c r="K19" s="31" t="str">
        <f t="shared" si="0"/>
        <v/>
      </c>
      <c r="L19" s="31" t="str">
        <f t="shared" si="0"/>
        <v/>
      </c>
      <c r="M19" s="31" t="str">
        <f t="shared" si="0"/>
        <v/>
      </c>
      <c r="N19" s="31" t="str">
        <f t="shared" si="0"/>
        <v/>
      </c>
      <c r="O19" s="31" t="str">
        <f t="shared" si="0"/>
        <v/>
      </c>
      <c r="P19" s="31" t="str">
        <f t="shared" si="0"/>
        <v/>
      </c>
      <c r="Q19" s="31" t="str">
        <f t="shared" si="0"/>
        <v/>
      </c>
      <c r="R19" s="31" t="str">
        <f t="shared" si="0"/>
        <v>●</v>
      </c>
      <c r="S19" s="31" t="str">
        <f t="shared" si="0"/>
        <v>●</v>
      </c>
    </row>
    <row r="20" spans="1:19" ht="37.25" customHeight="1">
      <c r="A20" s="31" t="s">
        <v>69</v>
      </c>
      <c r="B20" s="31" t="s">
        <v>277</v>
      </c>
      <c r="C20" s="31" t="s">
        <v>152</v>
      </c>
      <c r="D20" s="31">
        <v>12</v>
      </c>
      <c r="E20" s="31">
        <v>12</v>
      </c>
      <c r="F20" s="31">
        <v>4</v>
      </c>
      <c r="G20" s="31" t="s">
        <v>73</v>
      </c>
      <c r="H20" s="31" t="str">
        <f t="shared" si="0"/>
        <v/>
      </c>
      <c r="I20" s="31" t="str">
        <f t="shared" si="0"/>
        <v/>
      </c>
      <c r="J20" s="31" t="str">
        <f t="shared" si="0"/>
        <v/>
      </c>
      <c r="K20" s="31" t="str">
        <f t="shared" si="0"/>
        <v/>
      </c>
      <c r="L20" s="31" t="str">
        <f t="shared" si="0"/>
        <v/>
      </c>
      <c r="M20" s="31" t="str">
        <f t="shared" si="0"/>
        <v/>
      </c>
      <c r="N20" s="31" t="str">
        <f t="shared" si="0"/>
        <v/>
      </c>
      <c r="O20" s="31" t="str">
        <f t="shared" si="0"/>
        <v/>
      </c>
      <c r="P20" s="31" t="str">
        <f t="shared" si="0"/>
        <v/>
      </c>
      <c r="Q20" s="31" t="str">
        <f t="shared" si="0"/>
        <v/>
      </c>
      <c r="R20" s="31" t="str">
        <f t="shared" si="0"/>
        <v/>
      </c>
      <c r="S20" s="31" t="str">
        <f t="shared" si="0"/>
        <v>●</v>
      </c>
    </row>
    <row r="21" spans="1:19" ht="24" customHeight="1">
      <c r="A21" s="33" t="s">
        <v>109</v>
      </c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</row>
  </sheetData>
  <mergeCells count="4">
    <mergeCell ref="A1:S1"/>
    <mergeCell ref="A2:S2"/>
    <mergeCell ref="A3:S3"/>
    <mergeCell ref="A21:S21"/>
  </mergeCells>
  <conditionalFormatting sqref="G6:G20">
    <cfRule type="expression" dxfId="97" priority="2">
      <formula>G6="Complete"</formula>
    </cfRule>
    <cfRule type="expression" dxfId="96" priority="3">
      <formula>G6="On Track"</formula>
    </cfRule>
    <cfRule type="expression" dxfId="95" priority="4">
      <formula>G6="Approved"</formula>
    </cfRule>
    <cfRule type="expression" dxfId="94" priority="5">
      <formula>G6="Confirmed"</formula>
    </cfRule>
    <cfRule type="expression" dxfId="93" priority="6">
      <formula>G6="Available"</formula>
    </cfRule>
    <cfRule type="expression" dxfId="92" priority="7">
      <formula>G6="In Progress"</formula>
    </cfRule>
    <cfRule type="expression" dxfId="91" priority="8">
      <formula>G6="Watch"</formula>
    </cfRule>
    <cfRule type="expression" dxfId="90" priority="9">
      <formula>G6="Pending"</formula>
    </cfRule>
    <cfRule type="expression" dxfId="89" priority="10">
      <formula>G6="Open"</formula>
    </cfRule>
    <cfRule type="expression" dxfId="88" priority="11">
      <formula>G6="At Risk"</formula>
    </cfRule>
    <cfRule type="expression" dxfId="87" priority="12">
      <formula>G6="Critical"</formula>
    </cfRule>
    <cfRule type="expression" dxfId="86" priority="13">
      <formula>G6="Not Started"</formula>
    </cfRule>
    <cfRule type="expression" dxfId="85" priority="14">
      <formula>G6="In Review"</formula>
    </cfRule>
  </conditionalFormatting>
  <conditionalFormatting sqref="H6:S20">
    <cfRule type="expression" dxfId="84" priority="15">
      <formula>H6="●"</formula>
    </cfRule>
  </conditionalFormatting>
  <pageMargins left="0.7" right="0.7" top="0.75" bottom="0.75" header="0.3" footer="0.3"/>
  <pageSetup scale="50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22"/>
  <sheetViews>
    <sheetView showGridLines="0" workbookViewId="0">
      <selection sqref="A1:J22"/>
    </sheetView>
  </sheetViews>
  <sheetFormatPr baseColWidth="10" defaultColWidth="8.83203125" defaultRowHeight="15"/>
  <cols>
    <col min="1" max="1" width="32" customWidth="1"/>
    <col min="2" max="2" width="19" customWidth="1"/>
    <col min="3" max="3" width="20" customWidth="1"/>
    <col min="4" max="4" width="24" customWidth="1"/>
    <col min="5" max="5" width="20" customWidth="1"/>
    <col min="6" max="6" width="16" customWidth="1"/>
    <col min="7" max="8" width="4" customWidth="1"/>
    <col min="9" max="10" width="18" customWidth="1"/>
  </cols>
  <sheetData>
    <row r="1" spans="1:10" ht="42.75" customHeight="1">
      <c r="A1" s="25" t="s">
        <v>278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29.25" customHeight="1">
      <c r="A2" s="27" t="s">
        <v>279</v>
      </c>
      <c r="B2" s="27"/>
      <c r="C2" s="27"/>
      <c r="D2" s="27"/>
      <c r="E2" s="27"/>
      <c r="F2" s="27"/>
      <c r="G2" s="27"/>
      <c r="H2" s="27"/>
      <c r="I2" s="27"/>
      <c r="J2" s="27"/>
    </row>
    <row r="3" spans="1:10" ht="6.75" customHeight="1">
      <c r="A3" s="36"/>
      <c r="B3" s="36"/>
      <c r="C3" s="36"/>
      <c r="D3" s="36"/>
      <c r="E3" s="36"/>
      <c r="F3" s="36"/>
      <c r="G3" s="36"/>
      <c r="H3" s="36"/>
      <c r="I3" s="36"/>
      <c r="J3" s="36"/>
    </row>
    <row r="4" spans="1:10">
      <c r="A4" s="32"/>
      <c r="B4" s="32"/>
      <c r="C4" s="32"/>
      <c r="D4" s="32"/>
      <c r="E4" s="32"/>
      <c r="F4" s="32"/>
      <c r="G4" s="32"/>
      <c r="H4" s="32"/>
      <c r="I4" s="32"/>
      <c r="J4" s="32"/>
    </row>
    <row r="5" spans="1:10" ht="24" customHeight="1">
      <c r="A5" s="8" t="s">
        <v>101</v>
      </c>
      <c r="B5" s="8"/>
      <c r="C5" s="8" t="s">
        <v>104</v>
      </c>
      <c r="D5" s="8"/>
      <c r="E5" s="8" t="s">
        <v>107</v>
      </c>
      <c r="F5" s="8"/>
      <c r="G5" s="8" t="s">
        <v>108</v>
      </c>
      <c r="H5" s="8"/>
      <c r="I5" s="8" t="s">
        <v>280</v>
      </c>
      <c r="J5" s="8"/>
    </row>
    <row r="6" spans="1:10" ht="37.25" customHeight="1">
      <c r="A6" s="41">
        <f>SUM(B11:B16)</f>
        <v>600000</v>
      </c>
      <c r="B6" s="41"/>
      <c r="C6" s="41">
        <f>SUM(C11:C16)</f>
        <v>252000</v>
      </c>
      <c r="D6" s="41"/>
      <c r="E6" s="41">
        <f>SUM(D11:D16)</f>
        <v>585000</v>
      </c>
      <c r="F6" s="41"/>
      <c r="G6" s="41">
        <f>SUM(E11:E16)</f>
        <v>15000</v>
      </c>
      <c r="H6" s="41"/>
      <c r="I6" s="10" t="str">
        <f>IF(E18&gt;=0,"On Track","At Risk")</f>
        <v>On Track</v>
      </c>
      <c r="J6" s="10"/>
    </row>
    <row r="7" spans="1:10" ht="37.25" customHeight="1">
      <c r="A7" s="11" t="s">
        <v>281</v>
      </c>
      <c r="B7" s="11"/>
      <c r="C7" s="11" t="s">
        <v>282</v>
      </c>
      <c r="D7" s="11"/>
      <c r="E7" s="11" t="s">
        <v>283</v>
      </c>
      <c r="F7" s="11"/>
      <c r="G7" s="11" t="s">
        <v>284</v>
      </c>
      <c r="H7" s="11"/>
      <c r="I7" s="11" t="s">
        <v>285</v>
      </c>
      <c r="J7" s="11"/>
    </row>
    <row r="8" spans="1:10">
      <c r="A8" s="32"/>
      <c r="B8" s="32"/>
      <c r="C8" s="32"/>
      <c r="D8" s="32"/>
      <c r="E8" s="32"/>
      <c r="F8" s="32"/>
      <c r="G8" s="32"/>
      <c r="H8" s="32"/>
      <c r="I8" s="32"/>
      <c r="J8" s="32"/>
    </row>
    <row r="9" spans="1:10">
      <c r="A9" s="32"/>
      <c r="B9" s="32"/>
      <c r="C9" s="32"/>
      <c r="D9" s="32"/>
      <c r="E9" s="32"/>
      <c r="F9" s="32"/>
      <c r="G9" s="32"/>
      <c r="H9" s="32"/>
      <c r="I9" s="32"/>
      <c r="J9" s="32"/>
    </row>
    <row r="10" spans="1:10" ht="41.25" customHeight="1">
      <c r="A10" s="39" t="s">
        <v>286</v>
      </c>
      <c r="B10" s="39" t="s">
        <v>101</v>
      </c>
      <c r="C10" s="39" t="s">
        <v>104</v>
      </c>
      <c r="D10" s="39" t="s">
        <v>287</v>
      </c>
      <c r="E10" s="39" t="s">
        <v>108</v>
      </c>
      <c r="F10" s="39" t="s">
        <v>25</v>
      </c>
      <c r="G10" s="32"/>
      <c r="H10" s="32"/>
      <c r="I10" s="32"/>
      <c r="J10" s="32"/>
    </row>
    <row r="11" spans="1:10" ht="41.25" customHeight="1">
      <c r="A11" s="31" t="s">
        <v>288</v>
      </c>
      <c r="B11" s="42">
        <v>155000</v>
      </c>
      <c r="C11" s="42">
        <v>78500</v>
      </c>
      <c r="D11" s="42">
        <v>150000</v>
      </c>
      <c r="E11" s="42">
        <f t="shared" ref="E11:E16" si="0">B11-D11</f>
        <v>5000</v>
      </c>
      <c r="F11" s="31" t="s">
        <v>55</v>
      </c>
      <c r="G11" s="32"/>
      <c r="H11" s="32"/>
      <c r="I11" s="32"/>
      <c r="J11" s="32"/>
    </row>
    <row r="12" spans="1:10" ht="41.25" customHeight="1">
      <c r="A12" s="31" t="s">
        <v>289</v>
      </c>
      <c r="B12" s="42">
        <v>230000</v>
      </c>
      <c r="C12" s="42">
        <v>102000</v>
      </c>
      <c r="D12" s="42">
        <v>228000</v>
      </c>
      <c r="E12" s="42">
        <f t="shared" si="0"/>
        <v>2000</v>
      </c>
      <c r="F12" s="31" t="s">
        <v>46</v>
      </c>
      <c r="G12" s="32"/>
      <c r="H12" s="32"/>
      <c r="I12" s="32"/>
      <c r="J12" s="32"/>
    </row>
    <row r="13" spans="1:10" ht="41.25" customHeight="1">
      <c r="A13" s="31" t="s">
        <v>290</v>
      </c>
      <c r="B13" s="42">
        <v>48000</v>
      </c>
      <c r="C13" s="42">
        <v>23400</v>
      </c>
      <c r="D13" s="42">
        <v>46500</v>
      </c>
      <c r="E13" s="42">
        <f t="shared" si="0"/>
        <v>1500</v>
      </c>
      <c r="F13" s="31" t="s">
        <v>55</v>
      </c>
      <c r="G13" s="32"/>
      <c r="H13" s="32"/>
      <c r="I13" s="32"/>
      <c r="J13" s="32"/>
    </row>
    <row r="14" spans="1:10" ht="41.25" customHeight="1">
      <c r="A14" s="31" t="s">
        <v>291</v>
      </c>
      <c r="B14" s="42">
        <v>72000</v>
      </c>
      <c r="C14" s="42">
        <v>24000</v>
      </c>
      <c r="D14" s="42">
        <v>71000</v>
      </c>
      <c r="E14" s="42">
        <f t="shared" si="0"/>
        <v>1000</v>
      </c>
      <c r="F14" s="31" t="s">
        <v>55</v>
      </c>
      <c r="G14" s="32"/>
      <c r="H14" s="32"/>
      <c r="I14" s="32"/>
      <c r="J14" s="32"/>
    </row>
    <row r="15" spans="1:10" ht="41.25" customHeight="1">
      <c r="A15" s="31" t="s">
        <v>292</v>
      </c>
      <c r="B15" s="42">
        <v>35000</v>
      </c>
      <c r="C15" s="42">
        <v>10000</v>
      </c>
      <c r="D15" s="42">
        <v>33500</v>
      </c>
      <c r="E15" s="42">
        <f t="shared" si="0"/>
        <v>1500</v>
      </c>
      <c r="F15" s="31" t="s">
        <v>73</v>
      </c>
      <c r="G15" s="32"/>
      <c r="H15" s="32"/>
      <c r="I15" s="32"/>
      <c r="J15" s="32"/>
    </row>
    <row r="16" spans="1:10" ht="41.25" customHeight="1">
      <c r="A16" s="31" t="s">
        <v>293</v>
      </c>
      <c r="B16" s="42">
        <v>60000</v>
      </c>
      <c r="C16" s="42">
        <v>14100</v>
      </c>
      <c r="D16" s="42">
        <v>56000</v>
      </c>
      <c r="E16" s="42">
        <f t="shared" si="0"/>
        <v>4000</v>
      </c>
      <c r="F16" s="31" t="s">
        <v>294</v>
      </c>
      <c r="G16" s="32"/>
      <c r="H16" s="32"/>
      <c r="I16" s="32"/>
      <c r="J16" s="32"/>
    </row>
    <row r="17" spans="1:10" ht="41.25" customHeight="1">
      <c r="A17" s="31"/>
      <c r="B17" s="42"/>
      <c r="C17" s="42"/>
      <c r="D17" s="42"/>
      <c r="E17" s="42"/>
      <c r="F17" s="31"/>
      <c r="G17" s="32"/>
      <c r="H17" s="32"/>
      <c r="I17" s="32"/>
      <c r="J17" s="32"/>
    </row>
    <row r="18" spans="1:10" ht="41.25" customHeight="1">
      <c r="A18" s="30" t="s">
        <v>295</v>
      </c>
      <c r="B18" s="43">
        <f>SUM(B11:B16)</f>
        <v>600000</v>
      </c>
      <c r="C18" s="43">
        <f>SUM(C11:C16)</f>
        <v>252000</v>
      </c>
      <c r="D18" s="43">
        <f>SUM(D11:D16)</f>
        <v>585000</v>
      </c>
      <c r="E18" s="43">
        <f>SUM(E11:E16)</f>
        <v>15000</v>
      </c>
      <c r="F18" s="30"/>
      <c r="G18" s="32"/>
      <c r="H18" s="32"/>
      <c r="I18" s="32"/>
      <c r="J18" s="32"/>
    </row>
    <row r="19" spans="1:10">
      <c r="A19" s="32"/>
      <c r="B19" s="32"/>
      <c r="C19" s="32"/>
      <c r="D19" s="32"/>
      <c r="E19" s="32"/>
      <c r="F19" s="32"/>
      <c r="G19" s="32"/>
      <c r="H19" s="32"/>
      <c r="I19" s="32"/>
      <c r="J19" s="32"/>
    </row>
    <row r="20" spans="1:10">
      <c r="A20" s="32"/>
      <c r="B20" s="32"/>
      <c r="C20" s="32"/>
      <c r="D20" s="32"/>
      <c r="E20" s="32"/>
      <c r="F20" s="32"/>
      <c r="G20" s="32"/>
      <c r="H20" s="32"/>
      <c r="I20" s="32"/>
      <c r="J20" s="32"/>
    </row>
    <row r="21" spans="1:10">
      <c r="A21" s="32"/>
      <c r="B21" s="32"/>
      <c r="C21" s="32"/>
      <c r="D21" s="32"/>
      <c r="E21" s="32"/>
      <c r="F21" s="32"/>
      <c r="G21" s="32"/>
      <c r="H21" s="32"/>
      <c r="I21" s="32"/>
      <c r="J21" s="32"/>
    </row>
    <row r="22" spans="1:10" ht="24" customHeight="1">
      <c r="A22" s="24" t="s">
        <v>109</v>
      </c>
      <c r="B22" s="24"/>
      <c r="C22" s="24"/>
      <c r="D22" s="24"/>
      <c r="E22" s="24"/>
      <c r="F22" s="24"/>
      <c r="G22" s="24"/>
      <c r="H22" s="24"/>
      <c r="I22" s="24"/>
      <c r="J22" s="24"/>
    </row>
  </sheetData>
  <mergeCells count="19">
    <mergeCell ref="I5:J5"/>
    <mergeCell ref="I6:J6"/>
    <mergeCell ref="I7:J7"/>
    <mergeCell ref="A1:J1"/>
    <mergeCell ref="A2:J2"/>
    <mergeCell ref="A3:J3"/>
    <mergeCell ref="A22:J22"/>
    <mergeCell ref="A5:B5"/>
    <mergeCell ref="A6:B6"/>
    <mergeCell ref="A7:B7"/>
    <mergeCell ref="C5:D5"/>
    <mergeCell ref="C6:D6"/>
    <mergeCell ref="C7:D7"/>
    <mergeCell ref="E5:F5"/>
    <mergeCell ref="E6:F6"/>
    <mergeCell ref="E7:F7"/>
    <mergeCell ref="G5:H5"/>
    <mergeCell ref="G6:H6"/>
    <mergeCell ref="G7:H7"/>
  </mergeCells>
  <conditionalFormatting sqref="E11:E16">
    <cfRule type="expression" dxfId="83" priority="29">
      <formula>E11&lt;0</formula>
    </cfRule>
    <cfRule type="expression" dxfId="82" priority="30">
      <formula>E11&gt;=0</formula>
    </cfRule>
  </conditionalFormatting>
  <conditionalFormatting sqref="F11:F16">
    <cfRule type="expression" dxfId="81" priority="16">
      <formula>F11="Complete"</formula>
    </cfRule>
    <cfRule type="expression" dxfId="80" priority="17">
      <formula>F11="On Track"</formula>
    </cfRule>
    <cfRule type="expression" dxfId="79" priority="18">
      <formula>F11="Approved"</formula>
    </cfRule>
    <cfRule type="expression" dxfId="78" priority="19">
      <formula>F11="Confirmed"</formula>
    </cfRule>
    <cfRule type="expression" dxfId="77" priority="20">
      <formula>F11="Available"</formula>
    </cfRule>
    <cfRule type="expression" dxfId="76" priority="21">
      <formula>F11="In Progress"</formula>
    </cfRule>
    <cfRule type="expression" dxfId="75" priority="22">
      <formula>F11="Watch"</formula>
    </cfRule>
    <cfRule type="expression" dxfId="74" priority="23">
      <formula>F11="Pending"</formula>
    </cfRule>
    <cfRule type="expression" dxfId="73" priority="24">
      <formula>F11="Open"</formula>
    </cfRule>
    <cfRule type="expression" dxfId="72" priority="25">
      <formula>F11="At Risk"</formula>
    </cfRule>
    <cfRule type="expression" dxfId="71" priority="26">
      <formula>F11="Critical"</formula>
    </cfRule>
    <cfRule type="expression" dxfId="70" priority="27">
      <formula>F11="Not Started"</formula>
    </cfRule>
    <cfRule type="expression" dxfId="69" priority="28">
      <formula>F11="In Review"</formula>
    </cfRule>
  </conditionalFormatting>
  <pageMargins left="0.7" right="0.7" top="0.75" bottom="0.75" header="0.3" footer="0.3"/>
  <pageSetup scale="65" orientation="landscape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L15"/>
  <sheetViews>
    <sheetView showGridLines="0" workbookViewId="0">
      <selection sqref="A1:L15"/>
    </sheetView>
  </sheetViews>
  <sheetFormatPr baseColWidth="10" defaultColWidth="8.83203125" defaultRowHeight="15"/>
  <cols>
    <col min="1" max="1" width="13" customWidth="1"/>
    <col min="2" max="2" width="26" customWidth="1"/>
    <col min="3" max="3" width="18" customWidth="1"/>
    <col min="4" max="4" width="22" customWidth="1"/>
    <col min="5" max="5" width="13" customWidth="1"/>
    <col min="6" max="6" width="14" customWidth="1"/>
    <col min="7" max="7" width="18" customWidth="1"/>
    <col min="8" max="8" width="19" customWidth="1"/>
    <col min="9" max="9" width="17" customWidth="1"/>
    <col min="10" max="10" width="20" customWidth="1"/>
    <col min="11" max="11" width="42" customWidth="1"/>
    <col min="12" max="12" width="15" customWidth="1"/>
  </cols>
  <sheetData>
    <row r="1" spans="1:12" ht="42.75" customHeight="1">
      <c r="A1" s="25" t="s">
        <v>296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29.25" customHeight="1">
      <c r="A2" s="27" t="s">
        <v>297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6.75" customHeight="1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</row>
    <row r="4" spans="1:12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</row>
    <row r="5" spans="1:12" ht="48" customHeight="1">
      <c r="A5" s="39" t="s">
        <v>298</v>
      </c>
      <c r="B5" s="39" t="s">
        <v>299</v>
      </c>
      <c r="C5" s="39" t="s">
        <v>286</v>
      </c>
      <c r="D5" s="39" t="s">
        <v>300</v>
      </c>
      <c r="E5" s="39" t="s">
        <v>301</v>
      </c>
      <c r="F5" s="39" t="s">
        <v>302</v>
      </c>
      <c r="G5" s="39" t="s">
        <v>303</v>
      </c>
      <c r="H5" s="39" t="s">
        <v>304</v>
      </c>
      <c r="I5" s="39" t="s">
        <v>208</v>
      </c>
      <c r="J5" s="39" t="s">
        <v>22</v>
      </c>
      <c r="K5" s="39" t="s">
        <v>24</v>
      </c>
      <c r="L5" s="39" t="s">
        <v>25</v>
      </c>
    </row>
    <row r="6" spans="1:12" ht="48" customHeight="1">
      <c r="A6" s="31" t="s">
        <v>305</v>
      </c>
      <c r="B6" s="31" t="s">
        <v>306</v>
      </c>
      <c r="C6" s="31" t="s">
        <v>307</v>
      </c>
      <c r="D6" s="31" t="s">
        <v>308</v>
      </c>
      <c r="E6" s="31" t="s">
        <v>214</v>
      </c>
      <c r="F6" s="31" t="s">
        <v>309</v>
      </c>
      <c r="G6" s="31" t="s">
        <v>310</v>
      </c>
      <c r="H6" s="31" t="s">
        <v>248</v>
      </c>
      <c r="I6" s="31" t="s">
        <v>214</v>
      </c>
      <c r="J6" s="31" t="s">
        <v>61</v>
      </c>
      <c r="K6" s="31" t="s">
        <v>311</v>
      </c>
      <c r="L6" s="31" t="s">
        <v>312</v>
      </c>
    </row>
    <row r="7" spans="1:12" ht="48" customHeight="1">
      <c r="A7" s="31" t="s">
        <v>313</v>
      </c>
      <c r="B7" s="31" t="s">
        <v>314</v>
      </c>
      <c r="C7" s="31" t="s">
        <v>315</v>
      </c>
      <c r="D7" s="31" t="s">
        <v>316</v>
      </c>
      <c r="E7" s="31" t="s">
        <v>236</v>
      </c>
      <c r="F7" s="31" t="s">
        <v>309</v>
      </c>
      <c r="G7" s="31" t="s">
        <v>317</v>
      </c>
      <c r="H7" s="31" t="s">
        <v>234</v>
      </c>
      <c r="I7" s="31" t="s">
        <v>236</v>
      </c>
      <c r="J7" s="31" t="s">
        <v>43</v>
      </c>
      <c r="K7" s="31" t="s">
        <v>318</v>
      </c>
      <c r="L7" s="31" t="s">
        <v>319</v>
      </c>
    </row>
    <row r="8" spans="1:12" ht="48" customHeight="1">
      <c r="A8" s="31" t="s">
        <v>320</v>
      </c>
      <c r="B8" s="31" t="s">
        <v>321</v>
      </c>
      <c r="C8" s="31" t="s">
        <v>315</v>
      </c>
      <c r="D8" s="31" t="s">
        <v>316</v>
      </c>
      <c r="E8" s="31" t="s">
        <v>322</v>
      </c>
      <c r="F8" s="31" t="s">
        <v>309</v>
      </c>
      <c r="G8" s="31" t="s">
        <v>323</v>
      </c>
      <c r="H8" s="31" t="s">
        <v>234</v>
      </c>
      <c r="I8" s="31" t="s">
        <v>322</v>
      </c>
      <c r="J8" s="31" t="s">
        <v>43</v>
      </c>
      <c r="K8" s="31" t="s">
        <v>324</v>
      </c>
      <c r="L8" s="31" t="s">
        <v>46</v>
      </c>
    </row>
    <row r="9" spans="1:12" ht="48" customHeight="1">
      <c r="A9" s="31" t="s">
        <v>325</v>
      </c>
      <c r="B9" s="31" t="s">
        <v>326</v>
      </c>
      <c r="C9" s="31" t="s">
        <v>327</v>
      </c>
      <c r="D9" s="31" t="s">
        <v>308</v>
      </c>
      <c r="E9" s="31" t="s">
        <v>225</v>
      </c>
      <c r="F9" s="31" t="s">
        <v>328</v>
      </c>
      <c r="G9" s="31" t="s">
        <v>328</v>
      </c>
      <c r="H9" s="31" t="s">
        <v>230</v>
      </c>
      <c r="I9" s="31" t="s">
        <v>225</v>
      </c>
      <c r="J9" s="31" t="s">
        <v>52</v>
      </c>
      <c r="K9" s="31" t="s">
        <v>329</v>
      </c>
      <c r="L9" s="31" t="s">
        <v>312</v>
      </c>
    </row>
    <row r="10" spans="1:12" ht="48" customHeight="1">
      <c r="A10" s="31" t="s">
        <v>330</v>
      </c>
      <c r="B10" s="31" t="s">
        <v>331</v>
      </c>
      <c r="C10" s="31" t="s">
        <v>332</v>
      </c>
      <c r="D10" s="31" t="s">
        <v>333</v>
      </c>
      <c r="E10" s="31" t="s">
        <v>225</v>
      </c>
      <c r="F10" s="31" t="s">
        <v>334</v>
      </c>
      <c r="G10" s="31" t="s">
        <v>334</v>
      </c>
      <c r="H10" s="31" t="s">
        <v>241</v>
      </c>
      <c r="I10" s="31" t="s">
        <v>225</v>
      </c>
      <c r="J10" s="31" t="s">
        <v>173</v>
      </c>
      <c r="K10" s="31" t="s">
        <v>335</v>
      </c>
      <c r="L10" s="31" t="s">
        <v>336</v>
      </c>
    </row>
    <row r="11" spans="1:12" ht="48" customHeight="1">
      <c r="A11" s="31" t="s">
        <v>337</v>
      </c>
      <c r="B11" s="31" t="s">
        <v>338</v>
      </c>
      <c r="C11" s="31" t="s">
        <v>339</v>
      </c>
      <c r="D11" s="31" t="s">
        <v>340</v>
      </c>
      <c r="E11" s="31" t="s">
        <v>236</v>
      </c>
      <c r="F11" s="31" t="s">
        <v>341</v>
      </c>
      <c r="G11" s="31" t="s">
        <v>342</v>
      </c>
      <c r="H11" s="31" t="s">
        <v>245</v>
      </c>
      <c r="I11" s="31" t="s">
        <v>236</v>
      </c>
      <c r="J11" s="31" t="s">
        <v>43</v>
      </c>
      <c r="K11" s="31" t="s">
        <v>343</v>
      </c>
      <c r="L11" s="31" t="s">
        <v>319</v>
      </c>
    </row>
    <row r="12" spans="1:12" ht="48" customHeight="1">
      <c r="A12" s="31" t="s">
        <v>344</v>
      </c>
      <c r="B12" s="31" t="s">
        <v>345</v>
      </c>
      <c r="C12" s="31" t="s">
        <v>307</v>
      </c>
      <c r="D12" s="31" t="s">
        <v>308</v>
      </c>
      <c r="E12" s="31" t="s">
        <v>214</v>
      </c>
      <c r="F12" s="31" t="s">
        <v>342</v>
      </c>
      <c r="G12" s="31" t="s">
        <v>342</v>
      </c>
      <c r="H12" s="31" t="s">
        <v>248</v>
      </c>
      <c r="I12" s="31" t="s">
        <v>214</v>
      </c>
      <c r="J12" s="31" t="s">
        <v>61</v>
      </c>
      <c r="K12" s="31" t="s">
        <v>346</v>
      </c>
      <c r="L12" s="31" t="s">
        <v>312</v>
      </c>
    </row>
    <row r="13" spans="1:12" ht="48" customHeight="1">
      <c r="A13" s="31" t="s">
        <v>347</v>
      </c>
      <c r="B13" s="31" t="s">
        <v>348</v>
      </c>
      <c r="C13" s="31" t="s">
        <v>349</v>
      </c>
      <c r="D13" s="31" t="s">
        <v>350</v>
      </c>
      <c r="E13" s="31" t="s">
        <v>225</v>
      </c>
      <c r="F13" s="31" t="s">
        <v>351</v>
      </c>
      <c r="G13" s="31" t="s">
        <v>352</v>
      </c>
      <c r="H13" s="31" t="s">
        <v>258</v>
      </c>
      <c r="I13" s="31" t="s">
        <v>225</v>
      </c>
      <c r="J13" s="31" t="s">
        <v>33</v>
      </c>
      <c r="K13" s="31" t="s">
        <v>353</v>
      </c>
      <c r="L13" s="31" t="s">
        <v>73</v>
      </c>
    </row>
    <row r="14" spans="1:1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ht="24" customHeight="1">
      <c r="A15" s="33" t="s">
        <v>109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</row>
  </sheetData>
  <mergeCells count="4">
    <mergeCell ref="A1:L1"/>
    <mergeCell ref="A2:L2"/>
    <mergeCell ref="A3:L3"/>
    <mergeCell ref="A15:L15"/>
  </mergeCells>
  <conditionalFormatting sqref="E6:E13">
    <cfRule type="expression" dxfId="68" priority="29">
      <formula>E6="Critical"</formula>
    </cfRule>
    <cfRule type="expression" dxfId="67" priority="30">
      <formula>E6="High"</formula>
    </cfRule>
  </conditionalFormatting>
  <conditionalFormatting sqref="L6:L13">
    <cfRule type="expression" dxfId="66" priority="16">
      <formula>L6="Complete"</formula>
    </cfRule>
    <cfRule type="expression" dxfId="65" priority="17">
      <formula>L6="On Track"</formula>
    </cfRule>
    <cfRule type="expression" dxfId="64" priority="18">
      <formula>L6="Approved"</formula>
    </cfRule>
    <cfRule type="expression" dxfId="63" priority="19">
      <formula>L6="Confirmed"</formula>
    </cfRule>
    <cfRule type="expression" dxfId="62" priority="20">
      <formula>L6="Available"</formula>
    </cfRule>
    <cfRule type="expression" dxfId="61" priority="21">
      <formula>L6="In Progress"</formula>
    </cfRule>
    <cfRule type="expression" dxfId="60" priority="22">
      <formula>L6="Watch"</formula>
    </cfRule>
    <cfRule type="expression" dxfId="59" priority="23">
      <formula>L6="Pending"</formula>
    </cfRule>
    <cfRule type="expression" dxfId="58" priority="24">
      <formula>L6="Open"</formula>
    </cfRule>
    <cfRule type="expression" dxfId="57" priority="25">
      <formula>L6="At Risk"</formula>
    </cfRule>
    <cfRule type="expression" dxfId="56" priority="26">
      <formula>L6="Critical"</formula>
    </cfRule>
    <cfRule type="expression" dxfId="55" priority="27">
      <formula>L6="Not Started"</formula>
    </cfRule>
    <cfRule type="expression" dxfId="54" priority="28">
      <formula>L6="In Review"</formula>
    </cfRule>
  </conditionalFormatting>
  <dataValidations count="1">
    <dataValidation type="list" sqref="L6:L13" xr:uid="{00000000-0002-0000-0500-000000000000}">
      <formula1>"Available,Confirmed,In Review,At Risk,Not Started"</formula1>
    </dataValidation>
  </dataValidations>
  <pageMargins left="0.7" right="0.7" top="0.75" bottom="0.75" header="0.3" footer="0.3"/>
  <pageSetup scale="48"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J13"/>
  <sheetViews>
    <sheetView showGridLines="0" tabSelected="1" workbookViewId="0">
      <selection sqref="A1:J13"/>
    </sheetView>
  </sheetViews>
  <sheetFormatPr baseColWidth="10" defaultColWidth="8.83203125" defaultRowHeight="15"/>
  <cols>
    <col min="1" max="1" width="5.83203125" bestFit="1" customWidth="1"/>
    <col min="2" max="2" width="9.83203125" bestFit="1" customWidth="1"/>
    <col min="3" max="3" width="29.1640625" bestFit="1" customWidth="1"/>
    <col min="4" max="4" width="38.83203125" bestFit="1" customWidth="1"/>
    <col min="5" max="5" width="16.83203125" bestFit="1" customWidth="1"/>
    <col min="6" max="6" width="14" customWidth="1"/>
    <col min="7" max="7" width="17" customWidth="1"/>
    <col min="8" max="8" width="12" customWidth="1"/>
    <col min="9" max="9" width="34.5" bestFit="1" customWidth="1"/>
    <col min="10" max="10" width="35.83203125" bestFit="1" customWidth="1"/>
  </cols>
  <sheetData>
    <row r="1" spans="1:10" ht="29">
      <c r="A1" s="25" t="s">
        <v>354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21">
      <c r="A2" s="27" t="s">
        <v>355</v>
      </c>
      <c r="B2" s="27"/>
      <c r="C2" s="27"/>
      <c r="D2" s="27"/>
      <c r="E2" s="27"/>
      <c r="F2" s="27"/>
      <c r="G2" s="27"/>
      <c r="H2" s="27"/>
      <c r="I2" s="27"/>
      <c r="J2" s="27"/>
    </row>
    <row r="3" spans="1:10">
      <c r="A3" s="36"/>
      <c r="B3" s="36"/>
      <c r="C3" s="36"/>
      <c r="D3" s="36"/>
      <c r="E3" s="36"/>
      <c r="F3" s="36"/>
      <c r="G3" s="36"/>
      <c r="H3" s="36"/>
      <c r="I3" s="36"/>
      <c r="J3" s="36"/>
    </row>
    <row r="4" spans="1:10">
      <c r="A4" s="32"/>
      <c r="B4" s="32"/>
      <c r="C4" s="32"/>
      <c r="D4" s="32"/>
      <c r="E4" s="32"/>
      <c r="F4" s="32"/>
      <c r="G4" s="32"/>
      <c r="H4" s="32"/>
      <c r="I4" s="32"/>
      <c r="J4" s="32"/>
    </row>
    <row r="5" spans="1:10" ht="42">
      <c r="A5" s="39" t="s">
        <v>356</v>
      </c>
      <c r="B5" s="39" t="s">
        <v>200</v>
      </c>
      <c r="C5" s="39" t="s">
        <v>357</v>
      </c>
      <c r="D5" s="39" t="s">
        <v>358</v>
      </c>
      <c r="E5" s="39" t="s">
        <v>22</v>
      </c>
      <c r="F5" s="39" t="s">
        <v>359</v>
      </c>
      <c r="G5" s="39" t="s">
        <v>25</v>
      </c>
      <c r="H5" s="39" t="s">
        <v>208</v>
      </c>
      <c r="I5" s="39" t="s">
        <v>24</v>
      </c>
      <c r="J5" s="39" t="s">
        <v>360</v>
      </c>
    </row>
    <row r="6" spans="1:10" ht="16">
      <c r="A6" s="31" t="s">
        <v>361</v>
      </c>
      <c r="B6" s="31" t="s">
        <v>220</v>
      </c>
      <c r="C6" s="31" t="s">
        <v>362</v>
      </c>
      <c r="D6" s="31" t="s">
        <v>363</v>
      </c>
      <c r="E6" s="31" t="s">
        <v>152</v>
      </c>
      <c r="F6" s="31">
        <v>2</v>
      </c>
      <c r="G6" s="31" t="s">
        <v>36</v>
      </c>
      <c r="H6" s="31" t="s">
        <v>214</v>
      </c>
      <c r="I6" s="31" t="s">
        <v>35</v>
      </c>
      <c r="J6" s="31" t="s">
        <v>364</v>
      </c>
    </row>
    <row r="7" spans="1:10" ht="16">
      <c r="A7" s="31" t="s">
        <v>365</v>
      </c>
      <c r="B7" s="31" t="s">
        <v>220</v>
      </c>
      <c r="C7" s="31" t="s">
        <v>366</v>
      </c>
      <c r="D7" s="31" t="s">
        <v>367</v>
      </c>
      <c r="E7" s="31" t="s">
        <v>43</v>
      </c>
      <c r="F7" s="31">
        <v>3</v>
      </c>
      <c r="G7" s="31" t="s">
        <v>46</v>
      </c>
      <c r="H7" s="31" t="s">
        <v>236</v>
      </c>
      <c r="I7" s="31" t="s">
        <v>368</v>
      </c>
      <c r="J7" s="31" t="s">
        <v>369</v>
      </c>
    </row>
    <row r="8" spans="1:10" ht="32">
      <c r="A8" s="31" t="s">
        <v>370</v>
      </c>
      <c r="B8" s="31" t="s">
        <v>231</v>
      </c>
      <c r="C8" s="31" t="s">
        <v>232</v>
      </c>
      <c r="D8" s="31" t="s">
        <v>371</v>
      </c>
      <c r="E8" s="31" t="s">
        <v>52</v>
      </c>
      <c r="F8" s="31">
        <v>7</v>
      </c>
      <c r="G8" s="31" t="s">
        <v>55</v>
      </c>
      <c r="H8" s="31" t="s">
        <v>225</v>
      </c>
      <c r="I8" s="31" t="s">
        <v>372</v>
      </c>
      <c r="J8" s="31" t="s">
        <v>373</v>
      </c>
    </row>
    <row r="9" spans="1:10" ht="32">
      <c r="A9" s="31" t="s">
        <v>374</v>
      </c>
      <c r="B9" s="31" t="s">
        <v>231</v>
      </c>
      <c r="C9" s="31" t="s">
        <v>235</v>
      </c>
      <c r="D9" s="31" t="s">
        <v>375</v>
      </c>
      <c r="E9" s="31" t="s">
        <v>173</v>
      </c>
      <c r="F9" s="31">
        <v>8</v>
      </c>
      <c r="G9" s="31" t="s">
        <v>46</v>
      </c>
      <c r="H9" s="31" t="s">
        <v>236</v>
      </c>
      <c r="I9" s="31" t="s">
        <v>376</v>
      </c>
      <c r="J9" s="31" t="s">
        <v>377</v>
      </c>
    </row>
    <row r="10" spans="1:10" ht="16">
      <c r="A10" s="31" t="s">
        <v>378</v>
      </c>
      <c r="B10" s="31" t="s">
        <v>242</v>
      </c>
      <c r="C10" s="31" t="s">
        <v>379</v>
      </c>
      <c r="D10" s="31" t="s">
        <v>380</v>
      </c>
      <c r="E10" s="31" t="s">
        <v>173</v>
      </c>
      <c r="F10" s="31">
        <v>9</v>
      </c>
      <c r="G10" s="31" t="s">
        <v>73</v>
      </c>
      <c r="H10" s="31" t="s">
        <v>236</v>
      </c>
      <c r="I10" s="31" t="s">
        <v>381</v>
      </c>
      <c r="J10" s="31" t="s">
        <v>382</v>
      </c>
    </row>
    <row r="11" spans="1:10" ht="16">
      <c r="A11" s="31" t="s">
        <v>383</v>
      </c>
      <c r="B11" s="31" t="s">
        <v>60</v>
      </c>
      <c r="C11" s="31" t="s">
        <v>384</v>
      </c>
      <c r="D11" s="31" t="s">
        <v>385</v>
      </c>
      <c r="E11" s="31" t="s">
        <v>61</v>
      </c>
      <c r="F11" s="31">
        <v>10</v>
      </c>
      <c r="G11" s="31" t="s">
        <v>73</v>
      </c>
      <c r="H11" s="31" t="s">
        <v>236</v>
      </c>
      <c r="I11" s="31" t="s">
        <v>386</v>
      </c>
      <c r="J11" s="31" t="s">
        <v>387</v>
      </c>
    </row>
    <row r="12" spans="1:10" ht="32">
      <c r="A12" s="31" t="s">
        <v>388</v>
      </c>
      <c r="B12" s="31" t="s">
        <v>255</v>
      </c>
      <c r="C12" s="31" t="s">
        <v>389</v>
      </c>
      <c r="D12" s="31" t="s">
        <v>390</v>
      </c>
      <c r="E12" s="31" t="s">
        <v>152</v>
      </c>
      <c r="F12" s="31">
        <v>12</v>
      </c>
      <c r="G12" s="31" t="s">
        <v>73</v>
      </c>
      <c r="H12" s="31" t="s">
        <v>322</v>
      </c>
      <c r="I12" s="31" t="s">
        <v>391</v>
      </c>
      <c r="J12" s="31" t="s">
        <v>392</v>
      </c>
    </row>
    <row r="13" spans="1:10" ht="24" customHeight="1">
      <c r="A13" s="33" t="s">
        <v>109</v>
      </c>
      <c r="B13" s="33"/>
      <c r="C13" s="33"/>
      <c r="D13" s="33"/>
      <c r="E13" s="33"/>
      <c r="F13" s="33"/>
      <c r="G13" s="33"/>
      <c r="H13" s="33"/>
      <c r="I13" s="33"/>
      <c r="J13" s="33"/>
    </row>
  </sheetData>
  <mergeCells count="4">
    <mergeCell ref="A1:J1"/>
    <mergeCell ref="A2:J2"/>
    <mergeCell ref="A3:J3"/>
    <mergeCell ref="A13:J13"/>
  </mergeCells>
  <conditionalFormatting sqref="G6:G12">
    <cfRule type="expression" dxfId="53" priority="1">
      <formula>G6="Complete"</formula>
    </cfRule>
    <cfRule type="expression" dxfId="52" priority="2">
      <formula>G6="On Track"</formula>
    </cfRule>
    <cfRule type="expression" dxfId="51" priority="3">
      <formula>G6="Approved"</formula>
    </cfRule>
    <cfRule type="expression" dxfId="50" priority="4">
      <formula>G6="Confirmed"</formula>
    </cfRule>
    <cfRule type="expression" dxfId="49" priority="5">
      <formula>G6="Available"</formula>
    </cfRule>
    <cfRule type="expression" dxfId="48" priority="6">
      <formula>G6="In Progress"</formula>
    </cfRule>
    <cfRule type="expression" dxfId="47" priority="7">
      <formula>G6="Watch"</formula>
    </cfRule>
    <cfRule type="expression" dxfId="46" priority="8">
      <formula>G6="Pending"</formula>
    </cfRule>
    <cfRule type="expression" dxfId="45" priority="9">
      <formula>G6="Open"</formula>
    </cfRule>
    <cfRule type="expression" dxfId="44" priority="10">
      <formula>G6="At Risk"</formula>
    </cfRule>
    <cfRule type="expression" dxfId="43" priority="11">
      <formula>G6="Critical"</formula>
    </cfRule>
    <cfRule type="expression" dxfId="42" priority="12">
      <formula>G6="Not Started"</formula>
    </cfRule>
    <cfRule type="expression" dxfId="41" priority="13">
      <formula>G6="In Review"</formula>
    </cfRule>
  </conditionalFormatting>
  <dataValidations count="1">
    <dataValidation type="list" sqref="G6:G12" xr:uid="{00000000-0002-0000-0600-000000000000}">
      <formula1>"Complete,In Progress,At Risk,Not Started"</formula1>
    </dataValidation>
  </dataValidations>
  <pageMargins left="0.7" right="0.7" top="0.75" bottom="0.75" header="0.3" footer="0.3"/>
  <pageSetup scale="53" orientation="landscape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16"/>
  <sheetViews>
    <sheetView showGridLines="0" workbookViewId="0">
      <selection sqref="A1:I16"/>
    </sheetView>
  </sheetViews>
  <sheetFormatPr baseColWidth="10" defaultColWidth="8.83203125" defaultRowHeight="15"/>
  <cols>
    <col min="1" max="1" width="10" customWidth="1"/>
    <col min="2" max="2" width="14" customWidth="1"/>
    <col min="3" max="3" width="48" customWidth="1"/>
    <col min="4" max="4" width="22" customWidth="1"/>
    <col min="5" max="5" width="34" customWidth="1"/>
    <col min="6" max="6" width="13" customWidth="1"/>
    <col min="7" max="8" width="14" customWidth="1"/>
    <col min="9" max="9" width="48" customWidth="1"/>
  </cols>
  <sheetData>
    <row r="1" spans="1:9" ht="42.75" customHeight="1">
      <c r="A1" s="25" t="s">
        <v>393</v>
      </c>
      <c r="B1" s="25"/>
      <c r="C1" s="25"/>
      <c r="D1" s="25"/>
      <c r="E1" s="25"/>
      <c r="F1" s="25"/>
      <c r="G1" s="25"/>
      <c r="H1" s="25"/>
      <c r="I1" s="25"/>
    </row>
    <row r="2" spans="1:9" ht="29.25" customHeight="1">
      <c r="A2" s="27" t="s">
        <v>394</v>
      </c>
      <c r="B2" s="27"/>
      <c r="C2" s="27"/>
      <c r="D2" s="27"/>
      <c r="E2" s="27"/>
      <c r="F2" s="27"/>
      <c r="G2" s="27"/>
      <c r="H2" s="27"/>
      <c r="I2" s="27"/>
    </row>
    <row r="3" spans="1:9" ht="6.75" customHeight="1">
      <c r="A3" s="36"/>
      <c r="B3" s="36"/>
      <c r="C3" s="36"/>
      <c r="D3" s="36"/>
      <c r="E3" s="36"/>
      <c r="F3" s="36"/>
      <c r="G3" s="36"/>
      <c r="H3" s="36"/>
      <c r="I3" s="36"/>
    </row>
    <row r="4" spans="1:9">
      <c r="A4" s="32"/>
      <c r="B4" s="32"/>
      <c r="C4" s="32"/>
      <c r="D4" s="32"/>
      <c r="E4" s="32"/>
      <c r="F4" s="32"/>
      <c r="G4" s="32"/>
      <c r="H4" s="32"/>
      <c r="I4" s="32"/>
    </row>
    <row r="5" spans="1:9" ht="57.25" customHeight="1">
      <c r="A5" s="39" t="s">
        <v>395</v>
      </c>
      <c r="B5" s="39" t="s">
        <v>396</v>
      </c>
      <c r="C5" s="39" t="s">
        <v>397</v>
      </c>
      <c r="D5" s="39" t="s">
        <v>22</v>
      </c>
      <c r="E5" s="39" t="s">
        <v>398</v>
      </c>
      <c r="F5" s="39" t="s">
        <v>399</v>
      </c>
      <c r="G5" s="39" t="s">
        <v>400</v>
      </c>
      <c r="H5" s="39" t="s">
        <v>25</v>
      </c>
      <c r="I5" s="39" t="s">
        <v>24</v>
      </c>
    </row>
    <row r="6" spans="1:9" ht="57.25" customHeight="1">
      <c r="A6" s="31" t="s">
        <v>401</v>
      </c>
      <c r="B6" s="31" t="s">
        <v>402</v>
      </c>
      <c r="C6" s="31" t="s">
        <v>403</v>
      </c>
      <c r="D6" s="31" t="s">
        <v>43</v>
      </c>
      <c r="E6" s="31" t="s">
        <v>404</v>
      </c>
      <c r="F6" s="31" t="s">
        <v>322</v>
      </c>
      <c r="G6" s="31" t="s">
        <v>317</v>
      </c>
      <c r="H6" s="31" t="s">
        <v>405</v>
      </c>
      <c r="I6" s="31" t="s">
        <v>406</v>
      </c>
    </row>
    <row r="7" spans="1:9" ht="57.25" customHeight="1">
      <c r="A7" s="31" t="s">
        <v>407</v>
      </c>
      <c r="B7" s="31" t="s">
        <v>402</v>
      </c>
      <c r="C7" s="31" t="s">
        <v>408</v>
      </c>
      <c r="D7" s="31" t="s">
        <v>173</v>
      </c>
      <c r="E7" s="31" t="s">
        <v>409</v>
      </c>
      <c r="F7" s="31" t="s">
        <v>236</v>
      </c>
      <c r="G7" s="31" t="s">
        <v>341</v>
      </c>
      <c r="H7" s="31" t="s">
        <v>405</v>
      </c>
      <c r="I7" s="31" t="s">
        <v>410</v>
      </c>
    </row>
    <row r="8" spans="1:9" ht="57.25" customHeight="1">
      <c r="A8" s="31" t="s">
        <v>411</v>
      </c>
      <c r="B8" s="31" t="s">
        <v>402</v>
      </c>
      <c r="C8" s="31" t="s">
        <v>412</v>
      </c>
      <c r="D8" s="31" t="s">
        <v>61</v>
      </c>
      <c r="E8" s="31" t="s">
        <v>413</v>
      </c>
      <c r="F8" s="31" t="s">
        <v>236</v>
      </c>
      <c r="G8" s="31" t="s">
        <v>414</v>
      </c>
      <c r="H8" s="31" t="s">
        <v>405</v>
      </c>
      <c r="I8" s="31" t="s">
        <v>415</v>
      </c>
    </row>
    <row r="9" spans="1:9" ht="57.25" customHeight="1">
      <c r="A9" s="31" t="s">
        <v>416</v>
      </c>
      <c r="B9" s="31" t="s">
        <v>417</v>
      </c>
      <c r="C9" s="31" t="s">
        <v>418</v>
      </c>
      <c r="D9" s="31" t="s">
        <v>33</v>
      </c>
      <c r="E9" s="31" t="s">
        <v>419</v>
      </c>
      <c r="F9" s="31" t="s">
        <v>225</v>
      </c>
      <c r="G9" s="31" t="s">
        <v>334</v>
      </c>
      <c r="H9" s="31" t="s">
        <v>405</v>
      </c>
      <c r="I9" s="31" t="s">
        <v>420</v>
      </c>
    </row>
    <row r="10" spans="1:9" ht="57.25" customHeight="1">
      <c r="A10" s="31" t="s">
        <v>421</v>
      </c>
      <c r="B10" s="31" t="s">
        <v>417</v>
      </c>
      <c r="C10" s="31" t="s">
        <v>422</v>
      </c>
      <c r="D10" s="31" t="s">
        <v>52</v>
      </c>
      <c r="E10" s="31" t="s">
        <v>423</v>
      </c>
      <c r="F10" s="31" t="s">
        <v>236</v>
      </c>
      <c r="G10" s="31" t="s">
        <v>424</v>
      </c>
      <c r="H10" s="31" t="s">
        <v>405</v>
      </c>
      <c r="I10" s="31" t="s">
        <v>425</v>
      </c>
    </row>
    <row r="11" spans="1:9" ht="57.25" customHeight="1">
      <c r="A11" s="31" t="s">
        <v>426</v>
      </c>
      <c r="B11" s="31" t="s">
        <v>427</v>
      </c>
      <c r="C11" s="31" t="s">
        <v>428</v>
      </c>
      <c r="D11" s="31" t="s">
        <v>43</v>
      </c>
      <c r="E11" s="31" t="s">
        <v>429</v>
      </c>
      <c r="F11" s="31" t="s">
        <v>322</v>
      </c>
      <c r="G11" s="31" t="s">
        <v>317</v>
      </c>
      <c r="H11" s="31" t="s">
        <v>46</v>
      </c>
      <c r="I11" s="31" t="s">
        <v>430</v>
      </c>
    </row>
    <row r="12" spans="1:9" ht="57.25" customHeight="1">
      <c r="A12" s="31" t="s">
        <v>431</v>
      </c>
      <c r="B12" s="31" t="s">
        <v>427</v>
      </c>
      <c r="C12" s="31" t="s">
        <v>432</v>
      </c>
      <c r="D12" s="31" t="s">
        <v>173</v>
      </c>
      <c r="E12" s="31" t="s">
        <v>433</v>
      </c>
      <c r="F12" s="31" t="s">
        <v>236</v>
      </c>
      <c r="G12" s="31" t="s">
        <v>342</v>
      </c>
      <c r="H12" s="31" t="s">
        <v>405</v>
      </c>
      <c r="I12" s="31" t="s">
        <v>434</v>
      </c>
    </row>
    <row r="13" spans="1:9" ht="57.25" customHeight="1">
      <c r="A13" s="31" t="s">
        <v>435</v>
      </c>
      <c r="B13" s="31" t="s">
        <v>436</v>
      </c>
      <c r="C13" s="31" t="s">
        <v>437</v>
      </c>
      <c r="D13" s="31" t="s">
        <v>152</v>
      </c>
      <c r="E13" s="31" t="s">
        <v>438</v>
      </c>
      <c r="F13" s="31" t="s">
        <v>236</v>
      </c>
      <c r="G13" s="31" t="s">
        <v>328</v>
      </c>
      <c r="H13" s="31" t="s">
        <v>439</v>
      </c>
      <c r="I13" s="31" t="s">
        <v>440</v>
      </c>
    </row>
    <row r="14" spans="1:9" ht="57.25" customHeight="1">
      <c r="A14" s="31" t="s">
        <v>441</v>
      </c>
      <c r="B14" s="31" t="s">
        <v>436</v>
      </c>
      <c r="C14" s="31" t="s">
        <v>442</v>
      </c>
      <c r="D14" s="31" t="s">
        <v>33</v>
      </c>
      <c r="E14" s="31" t="s">
        <v>443</v>
      </c>
      <c r="F14" s="31" t="s">
        <v>236</v>
      </c>
      <c r="G14" s="31" t="s">
        <v>317</v>
      </c>
      <c r="H14" s="31" t="s">
        <v>439</v>
      </c>
      <c r="I14" s="31" t="s">
        <v>444</v>
      </c>
    </row>
    <row r="15" spans="1:9" ht="57.25" customHeight="1">
      <c r="A15" s="31" t="s">
        <v>445</v>
      </c>
      <c r="B15" s="31" t="s">
        <v>446</v>
      </c>
      <c r="C15" s="31" t="s">
        <v>447</v>
      </c>
      <c r="D15" s="31" t="s">
        <v>61</v>
      </c>
      <c r="E15" s="31" t="s">
        <v>448</v>
      </c>
      <c r="F15" s="31" t="s">
        <v>322</v>
      </c>
      <c r="G15" s="31" t="s">
        <v>449</v>
      </c>
      <c r="H15" s="31" t="s">
        <v>405</v>
      </c>
      <c r="I15" s="31" t="s">
        <v>450</v>
      </c>
    </row>
    <row r="16" spans="1:9" ht="24" customHeight="1">
      <c r="A16" s="24" t="s">
        <v>109</v>
      </c>
      <c r="B16" s="24"/>
      <c r="C16" s="24"/>
      <c r="D16" s="24"/>
      <c r="E16" s="24"/>
      <c r="F16" s="24"/>
      <c r="G16" s="24"/>
      <c r="H16" s="24"/>
      <c r="I16" s="24"/>
    </row>
  </sheetData>
  <mergeCells count="4">
    <mergeCell ref="A1:I1"/>
    <mergeCell ref="A2:I2"/>
    <mergeCell ref="A3:I3"/>
    <mergeCell ref="A16:I16"/>
  </mergeCells>
  <conditionalFormatting sqref="F6:F15">
    <cfRule type="expression" dxfId="40" priority="29">
      <formula>F6="Critical"</formula>
    </cfRule>
    <cfRule type="expression" dxfId="39" priority="30">
      <formula>F6="High"</formula>
    </cfRule>
  </conditionalFormatting>
  <conditionalFormatting sqref="H6:H15">
    <cfRule type="expression" dxfId="38" priority="16">
      <formula>H6="Complete"</formula>
    </cfRule>
    <cfRule type="expression" dxfId="37" priority="17">
      <formula>H6="On Track"</formula>
    </cfRule>
    <cfRule type="expression" dxfId="36" priority="18">
      <formula>H6="Approved"</formula>
    </cfRule>
    <cfRule type="expression" dxfId="35" priority="19">
      <formula>H6="Confirmed"</formula>
    </cfRule>
    <cfRule type="expression" dxfId="34" priority="20">
      <formula>H6="Available"</formula>
    </cfRule>
    <cfRule type="expression" dxfId="33" priority="21">
      <formula>H6="In Progress"</formula>
    </cfRule>
    <cfRule type="expression" dxfId="32" priority="22">
      <formula>H6="Watch"</formula>
    </cfRule>
    <cfRule type="expression" dxfId="31" priority="23">
      <formula>H6="Pending"</formula>
    </cfRule>
    <cfRule type="expression" dxfId="30" priority="24">
      <formula>H6="Open"</formula>
    </cfRule>
    <cfRule type="expression" dxfId="29" priority="25">
      <formula>H6="At Risk"</formula>
    </cfRule>
    <cfRule type="expression" dxfId="28" priority="26">
      <formula>H6="Critical"</formula>
    </cfRule>
    <cfRule type="expression" dxfId="27" priority="27">
      <formula>H6="Not Started"</formula>
    </cfRule>
    <cfRule type="expression" dxfId="26" priority="28">
      <formula>H6="In Review"</formula>
    </cfRule>
  </conditionalFormatting>
  <dataValidations count="1">
    <dataValidation type="list" sqref="H6:H15" xr:uid="{00000000-0002-0000-0700-000000000000}">
      <formula1>"Open,At Risk,Approved,Complete"</formula1>
    </dataValidation>
  </dataValidations>
  <pageMargins left="0.7" right="0.7" top="0.75" bottom="0.75" header="0.3" footer="0.3"/>
  <pageSetup scale="53" orientation="landscape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21"/>
  <sheetViews>
    <sheetView showGridLines="0" workbookViewId="0">
      <selection sqref="A1:H21"/>
    </sheetView>
  </sheetViews>
  <sheetFormatPr baseColWidth="10" defaultColWidth="8.83203125" defaultRowHeight="15"/>
  <cols>
    <col min="1" max="1" width="18" customWidth="1"/>
    <col min="2" max="2" width="20" customWidth="1"/>
    <col min="3" max="3" width="14" customWidth="1"/>
    <col min="4" max="4" width="40" customWidth="1"/>
    <col min="5" max="5" width="16" customWidth="1"/>
    <col min="6" max="6" width="34" customWidth="1"/>
    <col min="7" max="8" width="30" customWidth="1"/>
  </cols>
  <sheetData>
    <row r="1" spans="1:8" ht="29">
      <c r="A1" s="25" t="s">
        <v>451</v>
      </c>
      <c r="B1" s="25"/>
      <c r="C1" s="25"/>
      <c r="D1" s="25"/>
      <c r="E1" s="25"/>
      <c r="F1" s="25"/>
      <c r="G1" s="25"/>
      <c r="H1" s="25"/>
    </row>
    <row r="2" spans="1:8" ht="22">
      <c r="A2" s="44" t="s">
        <v>452</v>
      </c>
      <c r="B2" s="44"/>
      <c r="C2" s="44"/>
      <c r="D2" s="44"/>
      <c r="E2" s="44"/>
      <c r="F2" s="44"/>
      <c r="G2" s="44"/>
      <c r="H2" s="44"/>
    </row>
    <row r="3" spans="1:8">
      <c r="A3" s="36"/>
      <c r="B3" s="36"/>
      <c r="C3" s="36"/>
      <c r="D3" s="36"/>
      <c r="E3" s="36"/>
      <c r="F3" s="36"/>
      <c r="G3" s="36"/>
      <c r="H3" s="36"/>
    </row>
    <row r="4" spans="1:8">
      <c r="A4" s="32"/>
      <c r="B4" s="32"/>
      <c r="C4" s="32"/>
      <c r="D4" s="32"/>
      <c r="E4" s="32"/>
      <c r="F4" s="32"/>
      <c r="G4" s="32"/>
      <c r="H4" s="32"/>
    </row>
    <row r="5" spans="1:8" ht="21">
      <c r="A5" s="35" t="s">
        <v>453</v>
      </c>
      <c r="B5" s="35"/>
      <c r="C5" s="35"/>
      <c r="D5" s="35"/>
      <c r="E5" s="35"/>
      <c r="F5" s="35"/>
      <c r="G5" s="35"/>
      <c r="H5" s="35"/>
    </row>
    <row r="6" spans="1:8" ht="42">
      <c r="A6" s="39" t="s">
        <v>454</v>
      </c>
      <c r="B6" s="39" t="s">
        <v>455</v>
      </c>
      <c r="C6" s="39" t="s">
        <v>456</v>
      </c>
      <c r="D6" s="39" t="s">
        <v>457</v>
      </c>
      <c r="E6" s="39" t="s">
        <v>458</v>
      </c>
      <c r="F6" s="39" t="s">
        <v>22</v>
      </c>
      <c r="G6" s="39" t="s">
        <v>459</v>
      </c>
      <c r="H6" s="39" t="s">
        <v>25</v>
      </c>
    </row>
    <row r="7" spans="1:8" ht="128">
      <c r="A7" s="31" t="s">
        <v>460</v>
      </c>
      <c r="B7" s="31" t="s">
        <v>461</v>
      </c>
      <c r="C7" s="31" t="s">
        <v>462</v>
      </c>
      <c r="D7" s="31" t="s">
        <v>463</v>
      </c>
      <c r="E7" s="31" t="s">
        <v>464</v>
      </c>
      <c r="F7" s="31" t="s">
        <v>33</v>
      </c>
      <c r="G7" s="31" t="s">
        <v>465</v>
      </c>
      <c r="H7" s="31" t="s">
        <v>36</v>
      </c>
    </row>
    <row r="8" spans="1:8" ht="64">
      <c r="A8" s="31" t="s">
        <v>466</v>
      </c>
      <c r="B8" s="31" t="s">
        <v>467</v>
      </c>
      <c r="C8" s="31" t="s">
        <v>468</v>
      </c>
      <c r="D8" s="31" t="s">
        <v>469</v>
      </c>
      <c r="E8" s="31" t="s">
        <v>470</v>
      </c>
      <c r="F8" s="31" t="s">
        <v>43</v>
      </c>
      <c r="G8" s="31" t="s">
        <v>471</v>
      </c>
      <c r="H8" s="31" t="s">
        <v>55</v>
      </c>
    </row>
    <row r="9" spans="1:8" ht="80">
      <c r="A9" s="31" t="s">
        <v>472</v>
      </c>
      <c r="B9" s="31" t="s">
        <v>473</v>
      </c>
      <c r="C9" s="31" t="s">
        <v>474</v>
      </c>
      <c r="D9" s="31" t="s">
        <v>475</v>
      </c>
      <c r="E9" s="31" t="s">
        <v>476</v>
      </c>
      <c r="F9" s="31" t="s">
        <v>52</v>
      </c>
      <c r="G9" s="31" t="s">
        <v>477</v>
      </c>
      <c r="H9" s="31" t="s">
        <v>55</v>
      </c>
    </row>
    <row r="10" spans="1:8" ht="96">
      <c r="A10" s="31" t="s">
        <v>478</v>
      </c>
      <c r="B10" s="31" t="s">
        <v>479</v>
      </c>
      <c r="C10" s="31" t="s">
        <v>480</v>
      </c>
      <c r="D10" s="31" t="s">
        <v>481</v>
      </c>
      <c r="E10" s="31" t="s">
        <v>482</v>
      </c>
      <c r="F10" s="31" t="s">
        <v>61</v>
      </c>
      <c r="G10" s="31" t="s">
        <v>483</v>
      </c>
      <c r="H10" s="31" t="s">
        <v>73</v>
      </c>
    </row>
    <row r="11" spans="1:8" ht="64">
      <c r="A11" s="31" t="s">
        <v>484</v>
      </c>
      <c r="B11" s="31" t="s">
        <v>485</v>
      </c>
      <c r="C11" s="31" t="s">
        <v>486</v>
      </c>
      <c r="D11" s="31" t="s">
        <v>487</v>
      </c>
      <c r="E11" s="31" t="s">
        <v>488</v>
      </c>
      <c r="F11" s="31" t="s">
        <v>33</v>
      </c>
      <c r="G11" s="31" t="s">
        <v>489</v>
      </c>
      <c r="H11" s="31" t="s">
        <v>36</v>
      </c>
    </row>
    <row r="12" spans="1:8">
      <c r="A12" s="32"/>
      <c r="B12" s="32"/>
      <c r="C12" s="32"/>
      <c r="D12" s="32"/>
      <c r="E12" s="32"/>
      <c r="F12" s="32"/>
      <c r="G12" s="32"/>
      <c r="H12" s="32"/>
    </row>
    <row r="13" spans="1:8">
      <c r="A13" s="32"/>
      <c r="B13" s="32"/>
      <c r="C13" s="32"/>
      <c r="D13" s="32"/>
      <c r="E13" s="32"/>
      <c r="F13" s="32"/>
      <c r="G13" s="32"/>
      <c r="H13" s="32"/>
    </row>
    <row r="14" spans="1:8" ht="21">
      <c r="A14" s="35" t="s">
        <v>490</v>
      </c>
      <c r="B14" s="35"/>
      <c r="C14" s="35"/>
      <c r="D14" s="35"/>
      <c r="E14" s="35"/>
      <c r="F14" s="35"/>
      <c r="G14" s="35"/>
      <c r="H14" s="35"/>
    </row>
    <row r="15" spans="1:8" ht="21">
      <c r="A15" s="39" t="s">
        <v>491</v>
      </c>
      <c r="B15" s="39" t="s">
        <v>22</v>
      </c>
      <c r="C15" s="39" t="s">
        <v>492</v>
      </c>
      <c r="D15" s="39" t="s">
        <v>358</v>
      </c>
      <c r="E15" s="39" t="s">
        <v>25</v>
      </c>
      <c r="F15" s="39" t="s">
        <v>23</v>
      </c>
      <c r="G15" s="39" t="s">
        <v>493</v>
      </c>
      <c r="H15" s="39" t="s">
        <v>494</v>
      </c>
    </row>
    <row r="16" spans="1:8" ht="32">
      <c r="A16" s="31" t="s">
        <v>495</v>
      </c>
      <c r="B16" s="31" t="s">
        <v>33</v>
      </c>
      <c r="C16" s="31" t="s">
        <v>449</v>
      </c>
      <c r="D16" s="31" t="s">
        <v>496</v>
      </c>
      <c r="E16" s="31" t="s">
        <v>73</v>
      </c>
      <c r="F16" s="31" t="s">
        <v>497</v>
      </c>
      <c r="G16" s="31" t="s">
        <v>498</v>
      </c>
      <c r="H16" s="31" t="s">
        <v>499</v>
      </c>
    </row>
    <row r="17" spans="1:8" ht="32">
      <c r="A17" s="31" t="s">
        <v>500</v>
      </c>
      <c r="B17" s="31" t="s">
        <v>183</v>
      </c>
      <c r="C17" s="31" t="s">
        <v>449</v>
      </c>
      <c r="D17" s="31" t="s">
        <v>501</v>
      </c>
      <c r="E17" s="31" t="s">
        <v>73</v>
      </c>
      <c r="F17" s="31" t="s">
        <v>502</v>
      </c>
      <c r="G17" s="31" t="s">
        <v>503</v>
      </c>
      <c r="H17" s="31" t="s">
        <v>504</v>
      </c>
    </row>
    <row r="18" spans="1:8" ht="16">
      <c r="A18" s="31" t="s">
        <v>505</v>
      </c>
      <c r="B18" s="31" t="s">
        <v>33</v>
      </c>
      <c r="C18" s="31" t="s">
        <v>449</v>
      </c>
      <c r="D18" s="31" t="s">
        <v>506</v>
      </c>
      <c r="E18" s="31" t="s">
        <v>73</v>
      </c>
      <c r="F18" s="31" t="s">
        <v>507</v>
      </c>
      <c r="G18" s="31" t="s">
        <v>508</v>
      </c>
      <c r="H18" s="31" t="s">
        <v>509</v>
      </c>
    </row>
    <row r="19" spans="1:8" ht="32">
      <c r="A19" s="31" t="s">
        <v>510</v>
      </c>
      <c r="B19" s="31" t="s">
        <v>152</v>
      </c>
      <c r="C19" s="31" t="s">
        <v>449</v>
      </c>
      <c r="D19" s="31" t="s">
        <v>511</v>
      </c>
      <c r="E19" s="31" t="s">
        <v>73</v>
      </c>
      <c r="F19" s="31" t="s">
        <v>512</v>
      </c>
      <c r="G19" s="31" t="s">
        <v>513</v>
      </c>
      <c r="H19" s="31" t="s">
        <v>514</v>
      </c>
    </row>
    <row r="20" spans="1:8" ht="32">
      <c r="A20" s="31" t="s">
        <v>515</v>
      </c>
      <c r="B20" s="31" t="s">
        <v>33</v>
      </c>
      <c r="C20" s="31" t="s">
        <v>449</v>
      </c>
      <c r="D20" s="31" t="s">
        <v>516</v>
      </c>
      <c r="E20" s="31" t="s">
        <v>73</v>
      </c>
      <c r="F20" s="31" t="s">
        <v>517</v>
      </c>
      <c r="G20" s="31" t="s">
        <v>518</v>
      </c>
      <c r="H20" s="31" t="s">
        <v>519</v>
      </c>
    </row>
    <row r="21" spans="1:8" ht="26">
      <c r="A21" s="24" t="s">
        <v>109</v>
      </c>
      <c r="B21" s="24"/>
      <c r="C21" s="24"/>
      <c r="D21" s="24"/>
      <c r="E21" s="24"/>
      <c r="F21" s="24"/>
      <c r="G21" s="24"/>
      <c r="H21" s="24"/>
    </row>
  </sheetData>
  <mergeCells count="6">
    <mergeCell ref="A1:H1"/>
    <mergeCell ref="A2:H2"/>
    <mergeCell ref="A3:H3"/>
    <mergeCell ref="A21:H21"/>
    <mergeCell ref="A5:H5"/>
    <mergeCell ref="A14:H14"/>
  </mergeCells>
  <conditionalFormatting sqref="E16:E20">
    <cfRule type="expression" dxfId="25" priority="40">
      <formula>E16="Complete"</formula>
    </cfRule>
    <cfRule type="expression" dxfId="24" priority="41">
      <formula>E16="On Track"</formula>
    </cfRule>
    <cfRule type="expression" dxfId="23" priority="42">
      <formula>E16="Approved"</formula>
    </cfRule>
    <cfRule type="expression" dxfId="22" priority="43">
      <formula>E16="Confirmed"</formula>
    </cfRule>
    <cfRule type="expression" dxfId="21" priority="44">
      <formula>E16="Available"</formula>
    </cfRule>
    <cfRule type="expression" dxfId="20" priority="45">
      <formula>E16="In Progress"</formula>
    </cfRule>
    <cfRule type="expression" dxfId="19" priority="46">
      <formula>E16="Watch"</formula>
    </cfRule>
    <cfRule type="expression" dxfId="18" priority="47">
      <formula>E16="Pending"</formula>
    </cfRule>
    <cfRule type="expression" dxfId="17" priority="48">
      <formula>E16="Open"</formula>
    </cfRule>
    <cfRule type="expression" dxfId="16" priority="49">
      <formula>E16="At Risk"</formula>
    </cfRule>
    <cfRule type="expression" dxfId="15" priority="50">
      <formula>E16="Critical"</formula>
    </cfRule>
    <cfRule type="expression" dxfId="14" priority="51">
      <formula>E16="Not Started"</formula>
    </cfRule>
    <cfRule type="expression" dxfId="13" priority="52">
      <formula>E16="In Review"</formula>
    </cfRule>
  </conditionalFormatting>
  <conditionalFormatting sqref="H7:H11">
    <cfRule type="expression" dxfId="12" priority="27">
      <formula>H7="Complete"</formula>
    </cfRule>
    <cfRule type="expression" dxfId="11" priority="28">
      <formula>H7="On Track"</formula>
    </cfRule>
    <cfRule type="expression" dxfId="10" priority="29">
      <formula>H7="Approved"</formula>
    </cfRule>
    <cfRule type="expression" dxfId="9" priority="30">
      <formula>H7="Confirmed"</formula>
    </cfRule>
    <cfRule type="expression" dxfId="8" priority="31">
      <formula>H7="Available"</formula>
    </cfRule>
    <cfRule type="expression" dxfId="7" priority="32">
      <formula>H7="In Progress"</formula>
    </cfRule>
    <cfRule type="expression" dxfId="6" priority="33">
      <formula>H7="Watch"</formula>
    </cfRule>
    <cfRule type="expression" dxfId="5" priority="34">
      <formula>H7="Pending"</formula>
    </cfRule>
    <cfRule type="expression" dxfId="4" priority="35">
      <formula>H7="Open"</formula>
    </cfRule>
    <cfRule type="expression" dxfId="3" priority="36">
      <formula>H7="At Risk"</formula>
    </cfRule>
    <cfRule type="expression" dxfId="2" priority="37">
      <formula>H7="Critical"</formula>
    </cfRule>
    <cfRule type="expression" dxfId="1" priority="38">
      <formula>H7="Not Started"</formula>
    </cfRule>
    <cfRule type="expression" dxfId="0" priority="39">
      <formula>H7="In Review"</formula>
    </cfRule>
  </conditionalFormatting>
  <dataValidations count="1">
    <dataValidation type="list" sqref="H7:H11 E16:E20" xr:uid="{00000000-0002-0000-0800-000000000000}">
      <formula1>"Complete,In Progress,Not Started"</formula1>
    </dataValidation>
  </dataValidations>
  <pageMargins left="0.7" right="0.7" top="0.75" bottom="0.75" header="0.3" footer="0.3"/>
  <pageSetup scale="56" orientation="landscape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42"/>
  <sheetViews>
    <sheetView showGridLines="0" workbookViewId="0">
      <selection activeCell="A2" sqref="A2:L2"/>
    </sheetView>
  </sheetViews>
  <sheetFormatPr baseColWidth="10" defaultColWidth="8.83203125" defaultRowHeight="15"/>
  <cols>
    <col min="1" max="1" width="24" customWidth="1"/>
    <col min="2" max="2" width="18" customWidth="1"/>
    <col min="3" max="3" width="48" customWidth="1"/>
    <col min="4" max="4" width="19" customWidth="1"/>
    <col min="5" max="8" width="12" customWidth="1"/>
  </cols>
  <sheetData>
    <row r="1" spans="1:8" ht="42.75" customHeight="1">
      <c r="A1" s="4" t="s">
        <v>520</v>
      </c>
      <c r="B1" s="4"/>
      <c r="C1" s="4"/>
      <c r="D1" s="4"/>
      <c r="E1" s="4"/>
      <c r="F1" s="4"/>
      <c r="G1" s="4"/>
      <c r="H1" s="4"/>
    </row>
    <row r="2" spans="1:8" ht="29.25" customHeight="1">
      <c r="A2" s="5" t="s">
        <v>521</v>
      </c>
      <c r="B2" s="5"/>
      <c r="C2" s="5"/>
      <c r="D2" s="5"/>
      <c r="E2" s="5"/>
      <c r="F2" s="5"/>
      <c r="G2" s="5"/>
      <c r="H2" s="5"/>
    </row>
    <row r="3" spans="1:8" ht="6.75" customHeight="1">
      <c r="A3" s="36"/>
      <c r="B3" s="36"/>
      <c r="C3" s="36"/>
      <c r="D3" s="36"/>
      <c r="E3" s="36"/>
      <c r="F3" s="36"/>
      <c r="G3" s="36"/>
      <c r="H3" s="36"/>
    </row>
    <row r="4" spans="1:8">
      <c r="A4" s="45"/>
      <c r="B4" s="45"/>
      <c r="C4" s="45"/>
      <c r="D4" s="45"/>
      <c r="E4" s="45"/>
      <c r="F4" s="45"/>
      <c r="G4" s="45"/>
      <c r="H4" s="45"/>
    </row>
    <row r="5" spans="1:8" ht="32" customHeight="1">
      <c r="A5" s="46" t="s">
        <v>522</v>
      </c>
      <c r="B5" s="46" t="s">
        <v>523</v>
      </c>
      <c r="C5" s="46" t="s">
        <v>524</v>
      </c>
      <c r="D5" s="46" t="s">
        <v>525</v>
      </c>
      <c r="E5" s="45"/>
      <c r="F5" s="45"/>
      <c r="G5" s="45"/>
      <c r="H5" s="45"/>
    </row>
    <row r="6" spans="1:8" ht="32" customHeight="1">
      <c r="A6" s="32" t="s">
        <v>526</v>
      </c>
      <c r="B6" s="32" t="s">
        <v>527</v>
      </c>
      <c r="C6" s="32" t="s">
        <v>528</v>
      </c>
      <c r="D6" s="47"/>
      <c r="E6" s="45"/>
      <c r="F6" s="45"/>
      <c r="G6" s="45"/>
      <c r="H6" s="45"/>
    </row>
    <row r="7" spans="1:8" ht="32" customHeight="1">
      <c r="A7" s="32" t="s">
        <v>529</v>
      </c>
      <c r="B7" s="32" t="s">
        <v>530</v>
      </c>
      <c r="C7" s="32" t="s">
        <v>531</v>
      </c>
      <c r="D7" s="48"/>
      <c r="E7" s="45"/>
      <c r="F7" s="45"/>
      <c r="G7" s="45"/>
      <c r="H7" s="45"/>
    </row>
    <row r="8" spans="1:8" ht="32" customHeight="1">
      <c r="A8" s="32" t="s">
        <v>532</v>
      </c>
      <c r="B8" s="32" t="s">
        <v>533</v>
      </c>
      <c r="C8" s="32" t="s">
        <v>534</v>
      </c>
      <c r="D8" s="49"/>
      <c r="E8" s="45"/>
      <c r="F8" s="45"/>
      <c r="G8" s="45"/>
      <c r="H8" s="45"/>
    </row>
    <row r="9" spans="1:8" ht="32" customHeight="1">
      <c r="A9" s="32" t="s">
        <v>535</v>
      </c>
      <c r="B9" s="32" t="s">
        <v>536</v>
      </c>
      <c r="C9" s="32" t="s">
        <v>537</v>
      </c>
      <c r="D9" s="50"/>
      <c r="E9" s="45"/>
      <c r="F9" s="45"/>
      <c r="G9" s="45"/>
      <c r="H9" s="45"/>
    </row>
    <row r="10" spans="1:8" ht="32" customHeight="1">
      <c r="A10" s="32" t="s">
        <v>538</v>
      </c>
      <c r="B10" s="32" t="s">
        <v>539</v>
      </c>
      <c r="C10" s="32" t="s">
        <v>540</v>
      </c>
      <c r="D10" s="51"/>
      <c r="E10" s="45"/>
      <c r="F10" s="45"/>
      <c r="G10" s="45"/>
      <c r="H10" s="45"/>
    </row>
    <row r="11" spans="1:8" ht="32" customHeight="1">
      <c r="A11" s="32" t="s">
        <v>541</v>
      </c>
      <c r="B11" s="32" t="s">
        <v>542</v>
      </c>
      <c r="C11" s="32" t="s">
        <v>543</v>
      </c>
      <c r="D11" s="52"/>
      <c r="E11" s="45"/>
      <c r="F11" s="45"/>
      <c r="G11" s="45"/>
      <c r="H11" s="45"/>
    </row>
    <row r="12" spans="1:8" ht="32" customHeight="1">
      <c r="A12" s="32" t="s">
        <v>544</v>
      </c>
      <c r="B12" s="32" t="s">
        <v>545</v>
      </c>
      <c r="C12" s="32" t="s">
        <v>546</v>
      </c>
      <c r="D12" s="53"/>
      <c r="E12" s="45"/>
      <c r="F12" s="45"/>
      <c r="G12" s="45"/>
      <c r="H12" s="45"/>
    </row>
    <row r="13" spans="1:8" ht="32" customHeight="1">
      <c r="A13" s="45"/>
      <c r="B13" s="45"/>
      <c r="C13" s="45"/>
      <c r="D13" s="45"/>
      <c r="E13" s="45"/>
      <c r="F13" s="45"/>
      <c r="G13" s="45"/>
      <c r="H13" s="45"/>
    </row>
    <row r="14" spans="1:8" ht="32" customHeight="1">
      <c r="A14" s="45"/>
      <c r="B14" s="45"/>
      <c r="C14" s="45"/>
      <c r="D14" s="45"/>
      <c r="E14" s="45"/>
      <c r="F14" s="45"/>
      <c r="G14" s="45"/>
      <c r="H14" s="45"/>
    </row>
    <row r="15" spans="1:8" ht="32" customHeight="1">
      <c r="A15" s="46" t="s">
        <v>25</v>
      </c>
      <c r="B15" s="46" t="s">
        <v>547</v>
      </c>
      <c r="C15" s="46" t="s">
        <v>548</v>
      </c>
      <c r="D15" s="46" t="s">
        <v>524</v>
      </c>
      <c r="E15" s="45"/>
      <c r="F15" s="45"/>
      <c r="G15" s="45"/>
      <c r="H15" s="45"/>
    </row>
    <row r="16" spans="1:8" ht="32" customHeight="1">
      <c r="A16" s="32" t="s">
        <v>549</v>
      </c>
      <c r="B16" s="54" t="s">
        <v>550</v>
      </c>
      <c r="C16" s="55" t="s">
        <v>551</v>
      </c>
      <c r="D16" s="32" t="s">
        <v>552</v>
      </c>
      <c r="E16" s="45"/>
      <c r="F16" s="45"/>
      <c r="G16" s="45"/>
      <c r="H16" s="45"/>
    </row>
    <row r="17" spans="1:8" ht="32" customHeight="1">
      <c r="A17" s="32" t="s">
        <v>553</v>
      </c>
      <c r="B17" s="56" t="s">
        <v>554</v>
      </c>
      <c r="C17" s="57" t="s">
        <v>555</v>
      </c>
      <c r="D17" s="32" t="s">
        <v>556</v>
      </c>
      <c r="E17" s="45"/>
      <c r="F17" s="45"/>
      <c r="G17" s="45"/>
      <c r="H17" s="45"/>
    </row>
    <row r="18" spans="1:8" ht="32" customHeight="1">
      <c r="A18" s="32" t="s">
        <v>557</v>
      </c>
      <c r="B18" s="58" t="s">
        <v>558</v>
      </c>
      <c r="C18" s="59" t="s">
        <v>559</v>
      </c>
      <c r="D18" s="32" t="s">
        <v>560</v>
      </c>
      <c r="E18" s="45"/>
      <c r="F18" s="45"/>
      <c r="G18" s="45"/>
      <c r="H18" s="45"/>
    </row>
    <row r="19" spans="1:8" ht="32" customHeight="1">
      <c r="A19" s="32" t="s">
        <v>561</v>
      </c>
      <c r="B19" s="60" t="s">
        <v>562</v>
      </c>
      <c r="C19" s="61" t="s">
        <v>563</v>
      </c>
      <c r="D19" s="32" t="s">
        <v>564</v>
      </c>
      <c r="E19" s="45"/>
      <c r="F19" s="45"/>
      <c r="G19" s="45"/>
      <c r="H19" s="45"/>
    </row>
    <row r="20" spans="1:8">
      <c r="A20" s="45"/>
      <c r="B20" s="45"/>
      <c r="C20" s="45"/>
      <c r="D20" s="45"/>
      <c r="E20" s="45"/>
      <c r="F20" s="45"/>
      <c r="G20" s="45"/>
      <c r="H20" s="45"/>
    </row>
    <row r="21" spans="1:8">
      <c r="A21" s="45"/>
      <c r="B21" s="45"/>
      <c r="C21" s="45"/>
      <c r="D21" s="45"/>
      <c r="E21" s="45"/>
      <c r="F21" s="45"/>
      <c r="G21" s="45"/>
      <c r="H21" s="45"/>
    </row>
    <row r="22" spans="1:8">
      <c r="A22" s="17" t="s">
        <v>565</v>
      </c>
      <c r="B22" s="17"/>
      <c r="C22" s="17"/>
      <c r="D22" s="17"/>
      <c r="E22" s="17"/>
      <c r="F22" s="17"/>
      <c r="G22" s="17"/>
      <c r="H22" s="17"/>
    </row>
    <row r="23" spans="1:8">
      <c r="A23" s="17"/>
      <c r="B23" s="17"/>
      <c r="C23" s="17"/>
      <c r="D23" s="17"/>
      <c r="E23" s="17"/>
      <c r="F23" s="17"/>
      <c r="G23" s="17"/>
      <c r="H23" s="17"/>
    </row>
    <row r="24" spans="1:8">
      <c r="A24" s="17"/>
      <c r="B24" s="17"/>
      <c r="C24" s="17"/>
      <c r="D24" s="17"/>
      <c r="E24" s="17"/>
      <c r="F24" s="17"/>
      <c r="G24" s="17"/>
      <c r="H24" s="17"/>
    </row>
    <row r="25" spans="1:8">
      <c r="A25" s="17"/>
      <c r="B25" s="17"/>
      <c r="C25" s="17"/>
      <c r="D25" s="17"/>
      <c r="E25" s="17"/>
      <c r="F25" s="17"/>
      <c r="G25" s="17"/>
      <c r="H25" s="17"/>
    </row>
    <row r="42" spans="1:8" ht="24" customHeight="1">
      <c r="A42" s="3" t="s">
        <v>109</v>
      </c>
      <c r="B42" s="3"/>
      <c r="C42" s="3"/>
      <c r="D42" s="3"/>
      <c r="E42" s="3"/>
      <c r="F42" s="3"/>
      <c r="G42" s="3"/>
      <c r="H42" s="3"/>
    </row>
  </sheetData>
  <mergeCells count="5">
    <mergeCell ref="A1:H1"/>
    <mergeCell ref="A2:H2"/>
    <mergeCell ref="A3:H3"/>
    <mergeCell ref="A22:H25"/>
    <mergeCell ref="A42:H4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Project Dashboard</vt:lpstr>
      <vt:lpstr>Project Charter</vt:lpstr>
      <vt:lpstr>Work Packages</vt:lpstr>
      <vt:lpstr>Master Schedule</vt:lpstr>
      <vt:lpstr>Budget &amp; Forecast</vt:lpstr>
      <vt:lpstr>Procurement &amp; Dependencies</vt:lpstr>
      <vt:lpstr>Quality Gates</vt:lpstr>
      <vt:lpstr>RAIDD</vt:lpstr>
      <vt:lpstr>Lessons Learned</vt:lpstr>
      <vt:lpstr>Flowshua Brand Palette</vt:lpstr>
      <vt:lpstr>'Budget &amp; Forecast'!Print_Area</vt:lpstr>
      <vt:lpstr>'Lessons Learned'!Print_Area</vt:lpstr>
      <vt:lpstr>'Master Schedule'!Print_Area</vt:lpstr>
      <vt:lpstr>'Procurement &amp; Dependencies'!Print_Area</vt:lpstr>
      <vt:lpstr>'Project Charter'!Print_Area</vt:lpstr>
      <vt:lpstr>'Project Dashboard'!Print_Area</vt:lpstr>
      <vt:lpstr>'Quality Gates'!Print_Area</vt:lpstr>
      <vt:lpstr>RAIDD!Print_Area</vt:lpstr>
      <vt:lpstr>'Work Packages'!Print_Area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Lakes, Joshua</cp:lastModifiedBy>
  <cp:lastPrinted>2026-07-05T22:59:16Z</cp:lastPrinted>
  <dcterms:created xsi:type="dcterms:W3CDTF">2026-07-05T23:00:07Z</dcterms:created>
  <dcterms:modified xsi:type="dcterms:W3CDTF">2026-07-05T23:00:07Z</dcterms:modified>
</cp:coreProperties>
</file>