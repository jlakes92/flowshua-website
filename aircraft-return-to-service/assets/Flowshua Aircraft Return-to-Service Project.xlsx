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1a51fb5b3e484e" /></Relationships>
</file>

<file path=xl/workbook.xml><?xml version="1.0" encoding="utf-8"?>
<x:workbook xmlns:x="http://schemas.openxmlformats.org/spreadsheetml/2006/main">
  <x:sheets>
    <x:sheet xmlns:r="http://schemas.openxmlformats.org/officeDocument/2006/relationships" name="Project Dashboard" sheetId="1" r:id="R3337146ce1604966"/>
    <x:sheet xmlns:r="http://schemas.openxmlformats.org/officeDocument/2006/relationships" name="Project Charter" sheetId="2" r:id="Rcaf9626ac2df4a57"/>
    <x:sheet xmlns:r="http://schemas.openxmlformats.org/officeDocument/2006/relationships" name="Work Packages" sheetId="3" r:id="R1f321fca7e5d4171"/>
    <x:sheet xmlns:r="http://schemas.openxmlformats.org/officeDocument/2006/relationships" name="Master Schedule" sheetId="4" r:id="Rbe37655d808e4c5d"/>
    <x:sheet xmlns:r="http://schemas.openxmlformats.org/officeDocument/2006/relationships" name="Budget &amp; Forecast" sheetId="5" r:id="R0b08d473907f4e32"/>
    <x:sheet xmlns:r="http://schemas.openxmlformats.org/officeDocument/2006/relationships" name="Procurement &amp; Dependencies" sheetId="6" r:id="R1ff3830ca76b4b78"/>
    <x:sheet xmlns:r="http://schemas.openxmlformats.org/officeDocument/2006/relationships" name="Quality Gates" sheetId="7" r:id="Raa560767832346e1"/>
    <x:sheet xmlns:r="http://schemas.openxmlformats.org/officeDocument/2006/relationships" name="RAIDD" sheetId="8" r:id="Ra93951377e4144c3"/>
    <x:sheet xmlns:r="http://schemas.openxmlformats.org/officeDocument/2006/relationships" name="Lessons Learned" sheetId="9" r:id="R174ac2690bf744dd"/>
    <x:sheet xmlns:r="http://schemas.openxmlformats.org/officeDocument/2006/relationships" name="Flowshua Brand Palette" sheetId="10" r:id="Rf25e032e24c04506"/>
    <x:sheet xmlns:r="http://schemas.openxmlformats.org/officeDocument/2006/relationships" name="Start Here" sheetId="11" r:id="R39969ce8b7534174"/>
  </x:sheets>
</x:workbook>
</file>

<file path=xl/sharedStrings.xml><?xml version="1.0" encoding="utf-8"?>
<x:sst xmlns:x="http://schemas.openxmlformats.org/spreadsheetml/2006/main">
  <x:si>
    <x:t xml:space="preserve">Aircraft Return-to-Service Project</x:t>
  </x:si>
  <x:si>
    <x:t xml:space="preserve">Overall Progress</x:t>
  </x:si>
  <x:si>
    <x:t xml:space="preserve">Schedule Health</x:t>
  </x:si>
  <x:si>
    <x:t xml:space="preserve">Spent / Committed</x:t>
  </x:si>
  <x:si>
    <x:t xml:space="preserve">Open RAIDD Items</x:t>
  </x:si>
  <x:si>
    <x:t xml:space="preserve">Planned Return Window</x:t>
  </x:si>
  <x:si>
    <x:t xml:space="preserve">Based on the work completed so far</x:t>
  </x:si>
  <x:si>
    <x:t xml:space="preserve">Shows whether the schedule needs attention</x:t>
  </x:si>
  <x:si>
    <x:t xml:space="preserve">Spent or committed so far</x:t>
  </x:si>
  <x:si>
    <x:t xml:space="preserve">Open risks, assumptions, issues, decisions, and dependencies</x:t>
  </x:si>
  <x:si>
    <x:t xml:space="preserve">Project Goal</x:t>
  </x:si>
  <x:si>
    <x:t xml:space="preserve">Project Boundaries</x:t>
  </x:si>
  <x:si>
    <x:t xml:space="preserve">Get one fictional aircraft back to mission-capable status in 12 weeks while keeping the work, parts, inspections, labor, risks, and closeout organized.</x:t>
  </x:si>
  <x:si>
    <x:t xml:space="preserve">Everything in this workbook is fictional. It is based on general maintenance coordination experience, but it does not include real aircraft data, maintenance instructions, procedures, or operational information.</x:t>
  </x:si>
  <x:si>
    <x:t xml:space="preserve">What Needs Attention</x:t>
  </x:si>
  <x:si>
    <x:t xml:space="preserve">Project Path</x:t>
  </x:si>
  <x:si>
    <x:t xml:space="preserve">Focus</x:t>
  </x:si>
  <x:si>
    <x:t xml:space="preserve">What We See</x:t>
  </x:si>
  <x:si>
    <x:t xml:space="preserve">Owner</x:t>
  </x:si>
  <x:si>
    <x:t xml:space="preserve">Why It Matters</x:t>
  </x:si>
  <x:si>
    <x:t xml:space="preserve">Next Step</x:t>
  </x:si>
  <x:si>
    <x:t xml:space="preserve">Status</x:t>
  </x:si>
  <x:si>
    <x:t xml:space="preserve">Project Step</x:t>
  </x:si>
  <x:si>
    <x:t xml:space="preserve">Planned Window</x:t>
  </x:si>
  <x:si>
    <x:t xml:space="preserve">Current Forecast</x:t>
  </x:si>
  <x:si>
    <x:t xml:space="preserve">Depends On</x:t>
  </x:si>
  <x:si>
    <x:t xml:space="preserve">What We're Doing</x:t>
  </x:si>
  <x:si>
    <x:t xml:space="preserve">Scope</x:t>
  </x:si>
  <x:si>
    <x:t xml:space="preserve">The main work packages and release checks are set</x:t>
  </x:si>
  <x:si>
    <x:t xml:space="preserve">Project Manager</x:t>
  </x:si>
  <x:si>
    <x:t xml:space="preserve">Keeps extra work from getting added without a decision</x:t>
  </x:si>
  <x:si>
    <x:t xml:space="preserve">Keep change requests controlled</x:t>
  </x:si>
  <x:si>
    <x:t xml:space="preserve">Complete</x:t>
  </x:si>
  <x:si>
    <x:t xml:space="preserve">Initial assessment and plan</x:t>
  </x:si>
  <x:si>
    <x:t xml:space="preserve">Weeks 1-2</x:t>
  </x:si>
  <x:si>
    <x:t xml:space="preserve">Condition assessment</x:t>
  </x:si>
  <x:si>
    <x:t xml:space="preserve">Scope is set and the work plan is in place</x:t>
  </x:si>
  <x:si>
    <x:t xml:space="preserve">Parts</x:t>
  </x:si>
  <x:si>
    <x:t xml:space="preserve">Two key parts still need close follow-up</x:t>
  </x:si>
  <x:si>
    <x:t xml:space="preserve">Procurement Lead</x:t>
  </x:si>
  <x:si>
    <x:t xml:space="preserve">Keep pressure on the alternate source and delivery date</x:t>
  </x:si>
  <x:si>
    <x:t xml:space="preserve">At Risk</x:t>
  </x:si>
  <x:si>
    <x:t xml:space="preserve">Parts and sequencing</x:t>
  </x:si>
  <x:si>
    <x:t xml:space="preserve">Weeks 2-4</x:t>
  </x:si>
  <x:si>
    <x:t xml:space="preserve">Parts list and sourcing</x:t>
  </x:si>
  <x:si>
    <x:t xml:space="preserve">Stay on top of long-lead parts</x:t>
  </x:si>
  <x:si>
    <x:t xml:space="preserve">Critical path</x:t>
  </x:si>
  <x:si>
    <x:t xml:space="preserve">The maintenance and quality assurance checks are tied together</x:t>
  </x:si>
  <x:si>
    <x:t xml:space="preserve">Work Center Lead and QA</x:t>
  </x:si>
  <x:si>
    <x:t xml:space="preserve">This drives the return date</x:t>
  </x:si>
  <x:si>
    <x:t xml:space="preserve">Protect shop time and inspection windows</x:t>
  </x:si>
  <x:si>
    <x:t xml:space="preserve">In Progress</x:t>
  </x:si>
  <x:si>
    <x:t xml:space="preserve">Maintenance work</x:t>
  </x:si>
  <x:si>
    <x:t xml:space="preserve">Weeks 4-8</x:t>
  </x:si>
  <x:si>
    <x:t xml:space="preserve">Shop time and work-package handoffs</x:t>
  </x:si>
  <x:si>
    <x:t xml:space="preserve">Protect the main work windows</x:t>
  </x:si>
  <x:si>
    <x:t xml:space="preserve">Quality</x:t>
  </x:si>
  <x:si>
    <x:t xml:space="preserve">Maintenance checks are being planned before the work ends</x:t>
  </x:si>
  <x:si>
    <x:t xml:space="preserve">Quality Assurance Lead</x:t>
  </x:si>
  <x:si>
    <x:t xml:space="preserve">Helps avoid last-minute rework</x:t>
  </x:si>
  <x:si>
    <x:t xml:space="preserve">Hold time for inspections and evidence review</x:t>
  </x:si>
  <x:si>
    <x:t xml:space="preserve">Integration and quality</x:t>
  </x:si>
  <x:si>
    <x:t xml:space="preserve">Weeks 7-10</x:t>
  </x:si>
  <x:si>
    <x:t xml:space="preserve">Weeks 8-10</x:t>
  </x:si>
  <x:si>
    <x:t xml:space="preserve">Part arrivals and quality checks</x:t>
  </x:si>
  <x:si>
    <x:t xml:space="preserve">Watch</x:t>
  </x:si>
  <x:si>
    <x:t xml:space="preserve">Closeout</x:t>
  </x:si>
  <x:si>
    <x:t xml:space="preserve">Lessons and final paperwork are starting early</x:t>
  </x:si>
  <x:si>
    <x:t xml:space="preserve">Makes the project easier to wrap up cleanly</x:t>
  </x:si>
  <x:si>
    <x:t xml:space="preserve">Start the closeout package</x:t>
  </x:si>
  <x:si>
    <x:t xml:space="preserve">Not Started</x:t>
  </x:si>
  <x:si>
    <x:t xml:space="preserve">Weeks 10-12</x:t>
  </x:si>
  <x:si>
    <x:t xml:space="preserve">Weeks 11-12</x:t>
  </x:si>
  <x:si>
    <x:t xml:space="preserve">Quality release and sponsor approval</x:t>
  </x:si>
  <x:si>
    <x:t xml:space="preserve">Work Package Status</x:t>
  </x:si>
  <x:si>
    <x:t xml:space="preserve">What Each Tab Shows</x:t>
  </x:si>
  <x:si>
    <x:t xml:space="preserve">Count</x:t>
  </x:si>
  <x:si>
    <x:t xml:space="preserve">Tab</x:t>
  </x:si>
  <x:si>
    <x:t xml:space="preserve">What It Shows</x:t>
  </x:si>
  <x:si>
    <x:t xml:space="preserve">Project Charter</x:t>
  </x:si>
  <x:si>
    <x:t xml:space="preserve">Why the project exists, what is included, and who owns what</x:t>
  </x:si>
  <x:si>
    <x:t xml:space="preserve">Work Packages</x:t>
  </x:si>
  <x:si>
    <x:t xml:space="preserve">The main work, who owns it, progress, and what it depends on</x:t>
  </x:si>
  <x:si>
    <x:t xml:space="preserve">Master Schedule</x:t>
  </x:si>
  <x:si>
    <x:t xml:space="preserve">The 12-week plan and the parts of the project that drive the final date</x:t>
  </x:si>
  <x:si>
    <x:t xml:space="preserve">Budget &amp; Forecast</x:t>
  </x:si>
  <x:si>
    <x:t xml:space="preserve">Planned cost, current spend, expected total, and money left</x:t>
  </x:si>
  <x:si>
    <x:t xml:space="preserve">Procurement &amp; Dependencies</x:t>
  </x:si>
  <x:si>
    <x:t xml:space="preserve">Parts, outside support, delivery dates, and linked work packages</x:t>
  </x:si>
  <x:si>
    <x:t xml:space="preserve">Budget Snapshot</x:t>
  </x:si>
  <x:si>
    <x:t xml:space="preserve">Quality Gates</x:t>
  </x:si>
  <x:si>
    <x:t xml:space="preserve">Metric</x:t>
  </x:si>
  <x:si>
    <x:t xml:space="preserve">Value</x:t>
  </x:si>
  <x:si>
    <x:t xml:space="preserve">RAIDD</x:t>
  </x:si>
  <x:si>
    <x:t xml:space="preserve">Risks, assumptions, issues, decisions, and dependencies</x:t>
  </x:si>
  <x:si>
    <x:t xml:space="preserve">Planned Budget</x:t>
  </x:si>
  <x:si>
    <x:t xml:space="preserve">Lessons Learned</x:t>
  </x:si>
  <x:si>
    <x:t xml:space="preserve">What worked, what did not, and what to use next time</x:t>
  </x:si>
  <x:si>
    <x:t xml:space="preserve">Project Dashboard</x:t>
  </x:si>
  <x:si>
    <x:t xml:space="preserve">Quick view of progress, schedule, budget, risk, and readiness</x:t>
  </x:si>
  <x:si>
    <x:t xml:space="preserve">Expected Total Cost</x:t>
  </x:si>
  <x:si>
    <x:t xml:space="preserve">Budget Remaining</x:t>
  </x:si>
  <x:si>
    <x:t xml:space="preserve">Flowshua Projects | Clearer workflows. Stronger execution.</x:t>
  </x:si>
  <x:si>
    <x:t xml:space="preserve">Project Overview</x:t>
  </x:si>
  <x:si>
    <x:t xml:space="preserve">Project Name</x:t>
  </x:si>
  <x:si>
    <x:t xml:space="preserve">Goal</x:t>
  </x:si>
  <x:si>
    <x:t xml:space="preserve">Project Type</x:t>
  </x:si>
  <x:si>
    <x:t xml:space="preserve">Fictional aircraft recovery project</x:t>
  </x:si>
  <x:si>
    <x:t xml:space="preserve">Project Sponsor</x:t>
  </x:si>
  <x:si>
    <x:t xml:space="preserve">Operations Sponsor (fictional role)</x:t>
  </x:si>
  <x:si>
    <x:t xml:space="preserve">Main Constraint</x:t>
  </x:si>
  <x:si>
    <x:t xml:space="preserve">Parts availability and the timing of quality checks are what drive the schedule.</x:t>
  </x:si>
  <x:si>
    <x:t xml:space="preserve">Project Manager (portfolio example)</x:t>
  </x:si>
  <x:si>
    <x:t xml:space="preserve">Working Assumption</x:t>
  </x:si>
  <x:si>
    <x:t xml:space="preserve">Planned Length</x:t>
  </x:si>
  <x:si>
    <x:t xml:space="preserve">12 weeks</x:t>
  </x:si>
  <x:si>
    <x:t xml:space="preserve">Success Looks Like</x:t>
  </x:si>
  <x:si>
    <x:t xml:space="preserve">$600,000</x:t>
  </x:si>
  <x:si>
    <x:t xml:space="preserve">What Is Fictional</x:t>
  </x:si>
  <x:si>
    <x:t xml:space="preserve">All aircraft, dates, costs, parts, and details here are made up for this portfolio example.</x:t>
  </x:si>
  <x:si>
    <x:t xml:space="preserve">Target Outcome</x:t>
  </x:si>
  <x:si>
    <x:t xml:space="preserve">How the Project Is Run</x:t>
  </x:si>
  <x:si>
    <x:t xml:space="preserve">Keep ownership clear, raise problems early, and keep the project easy to follow.</x:t>
  </x:si>
  <x:si>
    <x:t xml:space="preserve">What Is Included</x:t>
  </x:si>
  <x:si>
    <x:t xml:space="preserve">What Is Not Included</x:t>
  </x:si>
  <x:si>
    <x:t xml:space="preserve">Included</x:t>
  </x:si>
  <x:si>
    <x:t xml:space="preserve">Initial assessment and work planning</x:t>
  </x:si>
  <x:si>
    <x:t xml:space="preserve">Not included</x:t>
  </x:si>
  <x:si>
    <x:t xml:space="preserve">Technical repair instructions or maintenance procedures</x:t>
  </x:si>
  <x:si>
    <x:t xml:space="preserve">Fictional parts planning, tracking, and recovery sequencing</x:t>
  </x:si>
  <x:si>
    <x:t xml:space="preserve">Real aircraft, unit, system, inspection, or parts information</x:t>
  </x:si>
  <x:si>
    <x:t xml:space="preserve">Operational flight schedules or mission details</x:t>
  </x:si>
  <x:si>
    <x:t xml:space="preserve">Project budget, schedule, risk tracking, and lessons learned</x:t>
  </x:si>
  <x:si>
    <x:t xml:space="preserve">Real vendor, contract, or supply-chain information</x:t>
  </x:si>
  <x:si>
    <x:t xml:space="preserve">Weekly updates so leadership can see the full picture</x:t>
  </x:si>
  <x:si>
    <x:t xml:space="preserve">Any claim that this is real Government work product</x:t>
  </x:si>
  <x:si>
    <x:t xml:space="preserve">Who Is Involved and How It Works</x:t>
  </x:si>
  <x:si>
    <x:t xml:space="preserve">Role</x:t>
  </x:si>
  <x:si>
    <x:t xml:space="preserve">What They Care About</x:t>
  </x:si>
  <x:si>
    <x:t xml:space="preserve">What They Decide</x:t>
  </x:si>
  <x:si>
    <x:t xml:space="preserve">How Often</x:t>
  </x:si>
  <x:si>
    <x:t xml:space="preserve">What They Bring</x:t>
  </x:si>
  <x:si>
    <x:t xml:space="preserve">Operations Sponsor</x:t>
  </x:si>
  <x:si>
    <x:t xml:space="preserve">Weekly gate review</x:t>
  </x:si>
  <x:si>
    <x:t xml:space="preserve">Keeping the whole plan together</x:t>
  </x:si>
  <x:si>
    <x:t xml:space="preserve">Coordinates changes and escalations</x:t>
  </x:si>
  <x:si>
    <x:t xml:space="preserve">Daily control review</x:t>
  </x:si>
  <x:si>
    <x:t xml:space="preserve">Clear view of scope, cost, schedule, and risk</x:t>
  </x:si>
  <x:si>
    <x:t xml:space="preserve">Work Center Lead</x:t>
  </x:si>
  <x:si>
    <x:t xml:space="preserve">Work order and team capacity</x:t>
  </x:si>
  <x:si>
    <x:t xml:space="preserve">Sets shop capacity</x:t>
  </x:si>
  <x:si>
    <x:t xml:space="preserve">Daily work review</x:t>
  </x:si>
  <x:si>
    <x:t xml:space="preserve">Progress and resource limits</x:t>
  </x:si>
  <x:si>
    <x:t xml:space="preserve">Parts and outside support</x:t>
  </x:si>
  <x:si>
    <x:t xml:space="preserve">Raises long-lead part problems</x:t>
  </x:si>
  <x:si>
    <x:t xml:space="preserve">Twice-weekly parts review</x:t>
  </x:si>
  <x:si>
    <x:t xml:space="preserve">Delivery dates and sourcing confidence</x:t>
  </x:si>
  <x:si>
    <x:t xml:space="preserve">Quality Lead</x:t>
  </x:si>
  <x:si>
    <x:t xml:space="preserve">At each gate</x:t>
  </x:si>
  <x:si>
    <x:t xml:space="preserve">Technical Lead</x:t>
  </x:si>
  <x:si>
    <x:t xml:space="preserve">Work-package coordination</x:t>
  </x:si>
  <x:si>
    <x:t xml:space="preserve">Updates completion forecast</x:t>
  </x:si>
  <x:si>
    <x:t xml:space="preserve">Daily recovery update</x:t>
  </x:si>
  <x:si>
    <x:t xml:space="preserve">Work sequence and technical handoffs</x:t>
  </x:si>
  <x:si>
    <x:t xml:space="preserve">Support / Vendor Lead</x:t>
  </x:si>
  <x:si>
    <x:t xml:space="preserve">Outside support and part delivery</x:t>
  </x:si>
  <x:si>
    <x:t xml:space="preserve">Gives delivery forecast</x:t>
  </x:si>
  <x:si>
    <x:t xml:space="preserve">As needed</x:t>
  </x:si>
  <x:si>
    <x:t xml:space="preserve">Support availability and arrival dates</x:t>
  </x:si>
  <x:si>
    <x:t xml:space="preserve">Project Controls</x:t>
  </x:si>
  <x:si>
    <x:t xml:space="preserve">Cost, schedule, and open items</x:t>
  </x:si>
  <x:si>
    <x:t xml:space="preserve">Keeps the tracker current</x:t>
  </x:si>
  <x:si>
    <x:t xml:space="preserve">Weekly management review</x:t>
  </x:si>
  <x:si>
    <x:t xml:space="preserve">Forecasts, variances, and open-item status</x:t>
  </x:si>
  <x:si>
    <x:t xml:space="preserve">Portfolio Viewer</x:t>
  </x:si>
  <x:si>
    <x:t xml:space="preserve">Understanding the project example</x:t>
  </x:si>
  <x:si>
    <x:t xml:space="preserve">No decision authority</x:t>
  </x:si>
  <x:si>
    <x:t xml:space="preserve">Uses the workbook to see the approach</x:t>
  </x:si>
  <x:si>
    <x:t xml:space="preserve">Project Boundary</x:t>
  </x:si>
  <x:si>
    <x:t xml:space="preserve">Fictional portfolio project</x:t>
  </x:si>
  <x:si>
    <x:t xml:space="preserve">No outside authority</x:t>
  </x:si>
  <x:si>
    <x:t xml:space="preserve">Always visible</x:t>
  </x:si>
  <x:si>
    <x:t xml:space="preserve">Only made-up, non-sensitive project data</x:t>
  </x:si>
  <x:si>
    <x:t xml:space="preserve">Work Package Tracker</x:t>
  </x:si>
  <x:si>
    <x:t xml:space="preserve">Package ID</x:t>
  </x:si>
  <x:si>
    <x:t xml:space="preserve">Phase</x:t>
  </x:si>
  <x:si>
    <x:t xml:space="preserve">Work</x:t>
  </x:si>
  <x:si>
    <x:t xml:space="preserve">Days</x:t>
  </x:si>
  <x:si>
    <x:t xml:space="preserve">Start Week</x:t>
  </x:si>
  <x:si>
    <x:t xml:space="preserve">Finish Week</x:t>
  </x:si>
  <x:si>
    <x:t xml:space="preserve">Weight</x:t>
  </x:si>
  <x:si>
    <x:t xml:space="preserve">% Complete</x:t>
  </x:si>
  <x:si>
    <x:t xml:space="preserve">Earned %</x:t>
  </x:si>
  <x:si>
    <x:t xml:space="preserve">Schedule Effect</x:t>
  </x:si>
  <x:si>
    <x:t xml:space="preserve">Notes</x:t>
  </x:si>
  <x:si>
    <x:t xml:space="preserve">WP-001</x:t>
  </x:si>
  <x:si>
    <x:t xml:space="preserve">Initiation</x:t>
  </x:si>
  <x:si>
    <x:t xml:space="preserve">Check aircraft condition and document findings</x:t>
  </x:si>
  <x:si>
    <x:t xml:space="preserve">Project kickoff</x:t>
  </x:si>
  <x:si>
    <x:t xml:space="preserve">Low</x:t>
  </x:si>
  <x:si>
    <x:t xml:space="preserve">Findings are captured and the baseline is ready</x:t>
  </x:si>
  <x:si>
    <x:t xml:space="preserve">WP-002</x:t>
  </x:si>
  <x:si>
    <x:t xml:space="preserve">WP-003</x:t>
  </x:si>
  <x:si>
    <x:t xml:space="preserve">Planning</x:t>
  </x:si>
  <x:si>
    <x:t xml:space="preserve">Build the detailed work plan</x:t>
  </x:si>
  <x:si>
    <x:t xml:space="preserve">The work is laid out before execution starts</x:t>
  </x:si>
  <x:si>
    <x:t xml:space="preserve">WP-004</x:t>
  </x:si>
  <x:si>
    <x:t xml:space="preserve">Confirm parts needed and the sourcing plan</x:t>
  </x:si>
  <x:si>
    <x:t xml:space="preserve">Medium</x:t>
  </x:si>
  <x:si>
    <x:t xml:space="preserve">Two key parts need daily follow-up</x:t>
  </x:si>
  <x:si>
    <x:t xml:space="preserve">WP-005</x:t>
  </x:si>
  <x:si>
    <x:t xml:space="preserve">Set the recovery sequence and shop plan</x:t>
  </x:si>
  <x:si>
    <x:t xml:space="preserve">Shop windows and handoffs are clear</x:t>
  </x:si>
  <x:si>
    <x:t xml:space="preserve">WP-006</x:t>
  </x:si>
  <x:si>
    <x:t xml:space="preserve">Execution</x:t>
  </x:si>
  <x:si>
    <x:t xml:space="preserve">Finish major work package A</x:t>
  </x:si>
  <x:si>
    <x:t xml:space="preserve">Protect the work window and keep the package moving</x:t>
  </x:si>
  <x:si>
    <x:t xml:space="preserve">WP-007</x:t>
  </x:si>
  <x:si>
    <x:t xml:space="preserve">Finish major work package B</x:t>
  </x:si>
  <x:si>
    <x:t xml:space="preserve">High</x:t>
  </x:si>
  <x:si>
    <x:t xml:space="preserve">Part availability is driving the current forecast</x:t>
  </x:si>
  <x:si>
    <x:t xml:space="preserve">WP-008</x:t>
  </x:si>
  <x:si>
    <x:t xml:space="preserve">Restore support systems and records</x:t>
  </x:si>
  <x:si>
    <x:t xml:space="preserve">Keep the records moving with the work</x:t>
  </x:si>
  <x:si>
    <x:t xml:space="preserve">WP-009</x:t>
  </x:si>
  <x:si>
    <x:t xml:space="preserve">Integration</x:t>
  </x:si>
  <x:si>
    <x:t xml:space="preserve">Install recovered components</x:t>
  </x:si>
  <x:si>
    <x:t xml:space="preserve">Do not start until the critical component is in hand</x:t>
  </x:si>
  <x:si>
    <x:t xml:space="preserve">WP-010</x:t>
  </x:si>
  <x:si>
    <x:t xml:space="preserve">Run integration checks</x:t>
  </x:si>
  <x:si>
    <x:t xml:space="preserve">The configuration needs to be stable first</x:t>
  </x:si>
  <x:si>
    <x:t xml:space="preserve">WP-011</x:t>
  </x:si>
  <x:si>
    <x:t xml:space="preserve">Complete the quality review</x:t>
  </x:si>
  <x:si>
    <x:t xml:space="preserve">Hold inspection time before the work is done</x:t>
  </x:si>
  <x:si>
    <x:t xml:space="preserve">WP-012</x:t>
  </x:si>
  <x:si>
    <x:t xml:space="preserve">Close out any quality fixes</x:t>
  </x:si>
  <x:si>
    <x:t xml:space="preserve">Document and close fixes as they are completed</x:t>
  </x:si>
  <x:si>
    <x:t xml:space="preserve">WP-013</x:t>
  </x:si>
  <x:si>
    <x:t xml:space="preserve">Readiness</x:t>
  </x:si>
  <x:si>
    <x:t xml:space="preserve">Run final readiness checks</x:t>
  </x:si>
  <x:si>
    <x:t xml:space="preserve">WP-014</x:t>
  </x:si>
  <x:si>
    <x:t xml:space="preserve">WP-015</x:t>
  </x:si>
  <x:si>
    <x:t xml:space="preserve">Master Schedule &amp; Recovery Plan</x:t>
  </x:si>
  <x:si>
    <x:t xml:space="preserve">Main Step</x:t>
  </x:si>
  <x:si>
    <x:t xml:space="preserve">Health</x:t>
  </x:si>
  <x:si>
    <x:t xml:space="preserve">Finish condition assessment</x:t>
  </x:si>
  <x:si>
    <x:t xml:space="preserve">Approve project charter</x:t>
  </x:si>
  <x:si>
    <x:t xml:space="preserve">Finish the detailed work plan</x:t>
  </x:si>
  <x:si>
    <x:t xml:space="preserve">Confirm critical parts plan</x:t>
  </x:si>
  <x:si>
    <x:t xml:space="preserve">Confirm shop capacity and work order</x:t>
  </x:si>
  <x:si>
    <x:t xml:space="preserve">Finish integration checks</x:t>
  </x:si>
  <x:si>
    <x:t xml:space="preserve">Complete quality review</x:t>
  </x:si>
  <x:si>
    <x:t xml:space="preserve">Close out quality fixes</x:t>
  </x:si>
  <x:si>
    <x:t xml:space="preserve">Project Budget &amp; Forecast</x:t>
  </x:si>
  <x:si>
    <x:t xml:space="preserve">Budget Health</x:t>
  </x:si>
  <x:si>
    <x:t xml:space="preserve">Approved project budget</x:t>
  </x:si>
  <x:si>
    <x:t xml:space="preserve">Money spent or already committed</x:t>
  </x:si>
  <x:si>
    <x:t xml:space="preserve">What the project is expected to cost</x:t>
  </x:si>
  <x:si>
    <x:t xml:space="preserve">Forecast headroom remaining in the approved budget</x:t>
  </x:si>
  <x:si>
    <x:t xml:space="preserve">How the forecast compares to the plan</x:t>
  </x:si>
  <x:si>
    <x:t xml:space="preserve">Category</x:t>
  </x:si>
  <x:si>
    <x:t xml:space="preserve">Expected Total</x:t>
  </x:si>
  <x:si>
    <x:t xml:space="preserve">Labor and shop support</x:t>
  </x:si>
  <x:si>
    <x:t xml:space="preserve">Parts and repairable components</x:t>
  </x:si>
  <x:si>
    <x:t xml:space="preserve">Materials and supplies</x:t>
  </x:si>
  <x:si>
    <x:t xml:space="preserve">Outside support and vendor help</x:t>
  </x:si>
  <x:si>
    <x:t xml:space="preserve">Testing and quality</x:t>
  </x:si>
  <x:si>
    <x:t xml:space="preserve">Contingency</x:t>
  </x:si>
  <x:si>
    <x:t xml:space="preserve">On Track</x:t>
  </x:si>
  <x:si>
    <x:t xml:space="preserve">Total</x:t>
  </x:si>
  <x:si>
    <x:t xml:space="preserve">Parts &amp; Dependency Tracker</x:t>
  </x:si>
  <x:si>
    <x:t xml:space="preserve">Request</x:t>
  </x:si>
  <x:si>
    <x:t xml:space="preserve">Part / Need</x:t>
  </x:si>
  <x:si>
    <x:t xml:space="preserve">Source</x:t>
  </x:si>
  <x:si>
    <x:t xml:space="preserve">Criticality</x:t>
  </x:si>
  <x:si>
    <x:t xml:space="preserve">Request Week</x:t>
  </x:si>
  <x:si>
    <x:t xml:space="preserve">Expected Arrival</x:t>
  </x:si>
  <x:si>
    <x:t xml:space="preserve">Linked Package</x:t>
  </x:si>
  <x:si>
    <x:t xml:space="preserve">PR-001</x:t>
  </x:si>
  <x:si>
    <x:t xml:space="preserve">Inspection supplies</x:t>
  </x:si>
  <x:si>
    <x:t xml:space="preserve">Quality support</x:t>
  </x:si>
  <x:si>
    <x:t xml:space="preserve">Internal stock</x:t>
  </x:si>
  <x:si>
    <x:t xml:space="preserve">Week 1</x:t>
  </x:si>
  <x:si>
    <x:t xml:space="preserve">Available now</x:t>
  </x:si>
  <x:si>
    <x:t xml:space="preserve">Make sure supplies are staged before review</x:t>
  </x:si>
  <x:si>
    <x:t xml:space="preserve">Available</x:t>
  </x:si>
  <x:si>
    <x:t xml:space="preserve">PR-002</x:t>
  </x:si>
  <x:si>
    <x:t xml:space="preserve">Electrical component</x:t>
  </x:si>
  <x:si>
    <x:t xml:space="preserve">Component</x:t>
  </x:si>
  <x:si>
    <x:t xml:space="preserve">Approved supplier</x:t>
  </x:si>
  <x:si>
    <x:t xml:space="preserve">Week 3</x:t>
  </x:si>
  <x:si>
    <x:t xml:space="preserve">Check the committed delivery date twice a week</x:t>
  </x:si>
  <x:si>
    <x:t xml:space="preserve">In Review</x:t>
  </x:si>
  <x:si>
    <x:t xml:space="preserve">PR-003</x:t>
  </x:si>
  <x:si>
    <x:t xml:space="preserve">Mechanical assembly</x:t>
  </x:si>
  <x:si>
    <x:t xml:space="preserve">Critical</x:t>
  </x:si>
  <x:si>
    <x:t xml:space="preserve">Waiting on forecast</x:t>
  </x:si>
  <x:si>
    <x:t xml:space="preserve">Work the alternate source and expedited shipping</x:t>
  </x:si>
  <x:si>
    <x:t xml:space="preserve">PR-004</x:t>
  </x:si>
  <x:si>
    <x:t xml:space="preserve">Seal and hardware kit</x:t>
  </x:si>
  <x:si>
    <x:t xml:space="preserve">Materials</x:t>
  </x:si>
  <x:si>
    <x:t xml:space="preserve">Week 2</x:t>
  </x:si>
  <x:si>
    <x:t xml:space="preserve">Check that the kit is complete before work starts</x:t>
  </x:si>
  <x:si>
    <x:t xml:space="preserve">PR-005</x:t>
  </x:si>
  <x:si>
    <x:t xml:space="preserve">Support equipment fixture</x:t>
  </x:si>
  <x:si>
    <x:t xml:space="preserve">Support equipment</x:t>
  </x:si>
  <x:si>
    <x:t xml:space="preserve">Shared pool</x:t>
  </x:si>
  <x:si>
    <x:t xml:space="preserve">Week 4</x:t>
  </x:si>
  <x:si>
    <x:t xml:space="preserve">Reserve the fixture for the integration window</x:t>
  </x:si>
  <x:si>
    <x:t xml:space="preserve">Confirmed</x:t>
  </x:si>
  <x:si>
    <x:t xml:space="preserve">PR-006</x:t>
  </x:si>
  <x:si>
    <x:t xml:space="preserve">Vendor diagnostic support</x:t>
  </x:si>
  <x:si>
    <x:t xml:space="preserve">Outside support</x:t>
  </x:si>
  <x:si>
    <x:t xml:space="preserve">Service partner</x:t>
  </x:si>
  <x:si>
    <x:t xml:space="preserve">Week 6</x:t>
  </x:si>
  <x:si>
    <x:t xml:space="preserve">Week 8</x:t>
  </x:si>
  <x:si>
    <x:t xml:space="preserve">Lock in the support date before checks start</x:t>
  </x:si>
  <x:si>
    <x:t xml:space="preserve">PR-007</x:t>
  </x:si>
  <x:si>
    <x:t xml:space="preserve">Verification materials</x:t>
  </x:si>
  <x:si>
    <x:t xml:space="preserve">Stage the materials before quality review</x:t>
  </x:si>
  <x:si>
    <x:t xml:space="preserve">PR-008</x:t>
  </x:si>
  <x:si>
    <x:t xml:space="preserve">Closeout paperwork</x:t>
  </x:si>
  <x:si>
    <x:t xml:space="preserve">Documentation</x:t>
  </x:si>
  <x:si>
    <x:t xml:space="preserve">Project controls</x:t>
  </x:si>
  <x:si>
    <x:t xml:space="preserve">Week 10</x:t>
  </x:si>
  <x:si>
    <x:t xml:space="preserve">Week 11</x:t>
  </x:si>
  <x:si>
    <x:t xml:space="preserve">Gate</x:t>
  </x:si>
  <x:si>
    <x:t xml:space="preserve">Check / Decision</x:t>
  </x:si>
  <x:si>
    <x:t xml:space="preserve">What We Need</x:t>
  </x:si>
  <x:si>
    <x:t xml:space="preserve">Week</x:t>
  </x:si>
  <x:si>
    <x:t xml:space="preserve">Ready When</x:t>
  </x:si>
  <x:si>
    <x:t xml:space="preserve">G-001</x:t>
  </x:si>
  <x:si>
    <x:t xml:space="preserve">Approve the project scope</x:t>
  </x:si>
  <x:si>
    <x:t xml:space="preserve">Charter, work package list, and starting risk log</x:t>
  </x:si>
  <x:si>
    <x:t xml:space="preserve">The project goal and work list are approved</x:t>
  </x:si>
  <x:si>
    <x:t xml:space="preserve">G-002</x:t>
  </x:si>
  <x:si>
    <x:t xml:space="preserve">Confirm the parts plan</x:t>
  </x:si>
  <x:si>
    <x:t xml:space="preserve">Parts list, sourcing plan, and delivery dates</x:t>
  </x:si>
  <x:si>
    <x:t xml:space="preserve">Work the alternate source for critical parts</x:t>
  </x:si>
  <x:si>
    <x:t xml:space="preserve">Critical parts have a solid arrival forecast</x:t>
  </x:si>
  <x:si>
    <x:t xml:space="preserve">G-003</x:t>
  </x:si>
  <x:si>
    <x:t xml:space="preserve">Completed package record and quality evidence</x:t>
  </x:si>
  <x:si>
    <x:t xml:space="preserve">Protect the work window and handoffs</x:t>
  </x:si>
  <x:si>
    <x:t xml:space="preserve">The package is done and the handoff is documented</x:t>
  </x:si>
  <x:si>
    <x:t xml:space="preserve">G-004</x:t>
  </x:si>
  <x:si>
    <x:t xml:space="preserve">Completed package record and part availability confirmation</x:t>
  </x:si>
  <x:si>
    <x:t xml:space="preserve">Review part ETA and schedule every day</x:t>
  </x:si>
  <x:si>
    <x:t xml:space="preserve">The critical work is done inside the recovery window</x:t>
  </x:si>
  <x:si>
    <x:t xml:space="preserve">G-005</x:t>
  </x:si>
  <x:si>
    <x:t xml:space="preserve">Verify component integration</x:t>
  </x:si>
  <x:si>
    <x:t xml:space="preserve">Integration checklist and fit confirmation</x:t>
  </x:si>
  <x:si>
    <x:t xml:space="preserve">Hold support and check time</x:t>
  </x:si>
  <x:si>
    <x:t xml:space="preserve">The configuration is stable for quality review</x:t>
  </x:si>
  <x:si>
    <x:t xml:space="preserve">G-006</x:t>
  </x:si>
  <x:si>
    <x:t xml:space="preserve">Finish the quality review</x:t>
  </x:si>
  <x:si>
    <x:t xml:space="preserve">Quality package and closed corrective actions</x:t>
  </x:si>
  <x:si>
    <x:t xml:space="preserve">Stage evidence and inspection time early</x:t>
  </x:si>
  <x:si>
    <x:t xml:space="preserve">G-007</x:t>
  </x:si>
  <x:si>
    <x:t xml:space="preserve">RAIDD Log</x:t>
  </x:si>
  <x:si>
    <x:t xml:space="preserve">ID</x:t>
  </x:si>
  <x:si>
    <x:t xml:space="preserve">Type</x:t>
  </x:si>
  <x:si>
    <x:t xml:space="preserve">What Could Happen / What We Know</x:t>
  </x:si>
  <x:si>
    <x:t xml:space="preserve">Impact</x:t>
  </x:si>
  <x:si>
    <x:t xml:space="preserve">Priority</x:t>
  </x:si>
  <x:si>
    <x:t xml:space="preserve">Due Week</x:t>
  </x:si>
  <x:si>
    <x:t xml:space="preserve">R-01</x:t>
  </x:si>
  <x:si>
    <x:t xml:space="preserve">Risk</x:t>
  </x:si>
  <x:si>
    <x:t xml:space="preserve">A critical part could miss the integration window</x:t>
  </x:si>
  <x:si>
    <x:t xml:space="preserve">Could delay major work package B and integration</x:t>
  </x:si>
  <x:si>
    <x:t xml:space="preserve">Open</x:t>
  </x:si>
  <x:si>
    <x:t xml:space="preserve">Confirm the alternate source and update delivery confidence</x:t>
  </x:si>
  <x:si>
    <x:t xml:space="preserve">R-02</x:t>
  </x:si>
  <x:si>
    <x:t xml:space="preserve">A new condition found during work could add more scope</x:t>
  </x:si>
  <x:si>
    <x:t xml:space="preserve">Could need a scope decision and use some contingency</x:t>
  </x:si>
  <x:si>
    <x:t xml:space="preserve">Review scope before any extra work is approved</x:t>
  </x:si>
  <x:si>
    <x:t xml:space="preserve">R-03</x:t>
  </x:si>
  <x:si>
    <x:t xml:space="preserve">Quality review time may not line up with recovery completion</x:t>
  </x:si>
  <x:si>
    <x:t xml:space="preserve">Week 9</x:t>
  </x:si>
  <x:si>
    <x:t xml:space="preserve">Hold the review window and stage evidence early</x:t>
  </x:si>
  <x:si>
    <x:t xml:space="preserve">A-01</x:t>
  </x:si>
  <x:si>
    <x:t xml:space="preserve">Assumption</x:t>
  </x:si>
  <x:si>
    <x:t xml:space="preserve">The planned budget has enough contingency for small changes</x:t>
  </x:si>
  <x:si>
    <x:t xml:space="preserve">The budget stays on track if changes stay within reserve</x:t>
  </x:si>
  <x:si>
    <x:t xml:space="preserve">Review contingency use in the weekly cost check</x:t>
  </x:si>
  <x:si>
    <x:t xml:space="preserve">A-02</x:t>
  </x:si>
  <x:si>
    <x:t xml:space="preserve">The shop has the people and time needed for the main work windows</x:t>
  </x:si>
  <x:si>
    <x:t xml:space="preserve">A resource conflict could slow down the recovery plan</x:t>
  </x:si>
  <x:si>
    <x:t xml:space="preserve">Week 5</x:t>
  </x:si>
  <x:si>
    <x:t xml:space="preserve">Confirm capacity before each weekly schedule lock</x:t>
  </x:si>
  <x:si>
    <x:t xml:space="preserve">I-01</x:t>
  </x:si>
  <x:si>
    <x:t xml:space="preserve">Issue</x:t>
  </x:si>
  <x:si>
    <x:t xml:space="preserve">The critical part delivery date is still uncertain</x:t>
  </x:si>
  <x:si>
    <x:t xml:space="preserve">The integration start date is exposed</x:t>
  </x:si>
  <x:si>
    <x:t xml:space="preserve">Escalate sourcing options and get firmer delivery dates</x:t>
  </x:si>
  <x:si>
    <x:t xml:space="preserve">I-02</x:t>
  </x:si>
  <x:si>
    <x:t xml:space="preserve">Major work package B is moving slower than planned</x:t>
  </x:si>
  <x:si>
    <x:t xml:space="preserve">Could squeeze the quality and readiness window</x:t>
  </x:si>
  <x:si>
    <x:t xml:space="preserve">Shift labor where needed and protect completion checks</x:t>
  </x:si>
  <x:si>
    <x:t xml:space="preserve">D-01</x:t>
  </x:si>
  <x:si>
    <x:t xml:space="preserve">Decision</x:t>
  </x:si>
  <x:si>
    <x:t xml:space="preserve">Approved</x:t>
  </x:si>
  <x:si>
    <x:t xml:space="preserve">D-02</x:t>
  </x:si>
  <x:si>
    <x:t xml:space="preserve">Hold contingency until the critical part forecast is clearer</x:t>
  </x:si>
  <x:si>
    <x:t xml:space="preserve">Prevents the budget from being used too early</x:t>
  </x:si>
  <x:si>
    <x:t xml:space="preserve">Only use reserve through a change review</x:t>
  </x:si>
  <x:si>
    <x:t xml:space="preserve">D-03</x:t>
  </x:si>
  <x:si>
    <x:t xml:space="preserve">Dependency</x:t>
  </x:si>
  <x:si>
    <x:t xml:space="preserve">Week 12</x:t>
  </x:si>
  <x:si>
    <x:t xml:space="preserve">Closeout &amp; Lessons Learned</x:t>
  </x:si>
  <x:si>
    <x:t xml:space="preserve">What We Have Learned So Far</x:t>
  </x:si>
  <x:si>
    <x:t xml:space="preserve">Lesson ID</x:t>
  </x:si>
  <x:si>
    <x:t xml:space="preserve">Project Moment</x:t>
  </x:si>
  <x:si>
    <x:t xml:space="preserve">What Happened</x:t>
  </x:si>
  <x:si>
    <x:t xml:space="preserve">What We Learned</x:t>
  </x:si>
  <x:si>
    <x:t xml:space="preserve">What To Do Next Time</x:t>
  </x:si>
  <x:si>
    <x:t xml:space="preserve">Where It Helps</x:t>
  </x:si>
  <x:si>
    <x:t xml:space="preserve">LL-01</x:t>
  </x:si>
  <x:si>
    <x:t xml:space="preserve">Scope baseline</x:t>
  </x:si>
  <x:si>
    <x:t xml:space="preserve">The early assessment stopped extra work from slipping into the active plan without a review.</x:t>
  </x:si>
  <x:si>
    <x:t xml:space="preserve">Set the scope early, then make changes visible before adding work.</x:t>
  </x:si>
  <x:si>
    <x:t xml:space="preserve">Keep a simple baseline and change log before major work starts.</x:t>
  </x:si>
  <x:si>
    <x:t xml:space="preserve">Future recovery projects</x:t>
  </x:si>
  <x:si>
    <x:t xml:space="preserve">LL-02</x:t>
  </x:si>
  <x:si>
    <x:t xml:space="preserve">Parts planning</x:t>
  </x:si>
  <x:si>
    <x:t xml:space="preserve">One long-lead part created a lot of schedule pressure.</x:t>
  </x:si>
  <x:si>
    <x:t xml:space="preserve">Start critical parts work early and always look at a backup source.</x:t>
  </x:si>
  <x:si>
    <x:t xml:space="preserve">Flag critical parts and check delivery confidence twice a week.</x:t>
  </x:si>
  <x:si>
    <x:t xml:space="preserve">Parts and dependency tracking</x:t>
  </x:si>
  <x:si>
    <x:t xml:space="preserve">LL-03</x:t>
  </x:si>
  <x:si>
    <x:t xml:space="preserve">Shop capacity</x:t>
  </x:si>
  <x:si>
    <x:t xml:space="preserve">Too much work hit the most limited recovery package at the same time.</x:t>
  </x:si>
  <x:si>
    <x:t xml:space="preserve">Protect critical-path work before lower-priority tasks.</x:t>
  </x:si>
  <x:si>
    <x:t xml:space="preserve">Lock in shop time each week for the work that drives the date.</x:t>
  </x:si>
  <x:si>
    <x:t xml:space="preserve">Resource planning</x:t>
  </x:si>
  <x:si>
    <x:t xml:space="preserve">LL-04</x:t>
  </x:si>
  <x:si>
    <x:t xml:space="preserve">Quality planning</x:t>
  </x:si>
  <x:si>
    <x:t xml:space="preserve">Waiting too long to plan verification would have squeezed the release window.</x:t>
  </x:si>
  <x:si>
    <x:t xml:space="preserve">Build evidence and inspection needs into the work package from the start.</x:t>
  </x:si>
  <x:si>
    <x:t xml:space="preserve">Stage quality evidence before the work is finished.</x:t>
  </x:si>
  <x:si>
    <x:t xml:space="preserve">Quality-gate checklist</x:t>
  </x:si>
  <x:si>
    <x:t xml:space="preserve">LL-05</x:t>
  </x:si>
  <x:si>
    <x:t xml:space="preserve">Leadership visibility</x:t>
  </x:si>
  <x:si>
    <x:t xml:space="preserve">A simple weekly dashboard made it easier to raise problems early.</x:t>
  </x:si>
  <x:si>
    <x:t xml:space="preserve">Leaders need a quick view of scope, cost, schedule, risk, and readiness.</x:t>
  </x:si>
  <x:si>
    <x:t xml:space="preserve">Use the same dashboard format during active recovery work.</x:t>
  </x:si>
  <x:si>
    <x:t xml:space="preserve">Project control dashboard</x:t>
  </x:si>
  <x:si>
    <x:t xml:space="preserve">Closeout Checklist</x:t>
  </x:si>
  <x:si>
    <x:t xml:space="preserve">Closeout Item</x:t>
  </x:si>
  <x:si>
    <x:t xml:space="preserve">Target Week</x:t>
  </x:si>
  <x:si>
    <x:t xml:space="preserve">Follow-up</x:t>
  </x:si>
  <x:si>
    <x:t xml:space="preserve">Portfolio Note</x:t>
  </x:si>
  <x:si>
    <x:t xml:space="preserve">Fictional portfolio example</x:t>
  </x:si>
  <x:si>
    <x:t xml:space="preserve">Budget wrap-up</x:t>
  </x:si>
  <x:si>
    <x:t xml:space="preserve">Final forecast, variance notes, and contingency use</x:t>
  </x:si>
  <x:si>
    <x:t xml:space="preserve">Shows how the project finished against the plan</x:t>
  </x:si>
  <x:si>
    <x:t xml:space="preserve">Update it as final vendor costs become clear</x:t>
  </x:si>
  <x:si>
    <x:t xml:space="preserve">Sample cost-control view</x:t>
  </x:si>
  <x:si>
    <x:t xml:space="preserve">RAIDD review</x:t>
  </x:si>
  <x:si>
    <x:t xml:space="preserve">Final status of open items and decisions</x:t>
  </x:si>
  <x:si>
    <x:t xml:space="preserve">Makes sure nothing gets lost at closeout</x:t>
  </x:si>
  <x:si>
    <x:t xml:space="preserve">Close or hand off every open item</x:t>
  </x:si>
  <x:si>
    <x:t xml:space="preserve">Sample project control</x:t>
  </x:si>
  <x:si>
    <x:t xml:space="preserve">Lessons learned review</x:t>
  </x:si>
  <x:si>
    <x:t xml:space="preserve">Final lessons summary and repeatable standards</x:t>
  </x:si>
  <x:si>
    <x:t xml:space="preserve">Turns the project into something useful next time</x:t>
  </x:si>
  <x:si>
    <x:t xml:space="preserve">Review it with the recovery leads</x:t>
  </x:si>
  <x:si>
    <x:t xml:space="preserve">Public, portfolio-safe summary</x:t>
  </x:si>
  <x:si>
    <x:t xml:space="preserve">Workbook archive</x:t>
  </x:si>
  <x:si>
    <x:t xml:space="preserve">Final workbook and project summary</x:t>
  </x:si>
  <x:si>
    <x:t xml:space="preserve">Keeps the project easy to explain and reuse</x:t>
  </x:si>
  <x:si>
    <x:t xml:space="preserve">Publish the approved portfolio version</x:t>
  </x:si>
  <x:si>
    <x:t xml:space="preserve">No real operational data included</x:t>
  </x:si>
  <x:si>
    <x:t xml:space="preserve">Flowshua Brand Palette</x:t>
  </x:si>
  <x:si>
    <x:t xml:space="preserve">Brand Element</x:t>
  </x:si>
  <x:si>
    <x:t xml:space="preserve">Hex</x:t>
  </x:si>
  <x:si>
    <x:t xml:space="preserve">Use It For</x:t>
  </x:si>
  <x:si>
    <x:t xml:space="preserve">Preview</x:t>
  </x:si>
  <x:si>
    <x:t xml:space="preserve">Primary navy</x:t>
  </x:si>
  <x:si>
    <x:t xml:space="preserve">#102A43</x:t>
  </x:si>
  <x:si>
    <x:t xml:space="preserve">Titles, main headers, and footers</x:t>
  </x:si>
  <x:si>
    <x:t xml:space="preserve">Secondary navy</x:t>
  </x:si>
  <x:si>
    <x:t xml:space="preserve">#173F5F</x:t>
  </x:si>
  <x:si>
    <x:t xml:space="preserve">Section bars and page structure</x:t>
  </x:si>
  <x:si>
    <x:t xml:space="preserve">Flowshua orange</x:t>
  </x:si>
  <x:si>
    <x:t xml:space="preserve">#F47C20</x:t>
  </x:si>
  <x:si>
    <x:t xml:space="preserve">Accent strips, actions, and emphasis</x:t>
  </x:si>
  <x:si>
    <x:t xml:space="preserve">Warm ivory</x:t>
  </x:si>
  <x:si>
    <x:t xml:space="preserve">#F8F5EF</x:t>
  </x:si>
  <x:si>
    <x:t xml:space="preserve">Light content areas and visual breathing room</x:t>
  </x:si>
  <x:si>
    <x:t xml:space="preserve">White</x:t>
  </x:si>
  <x:si>
    <x:t xml:space="preserve">#FFFFFF</x:t>
  </x:si>
  <x:si>
    <x:t xml:space="preserve">High-contrast text and clean content cards</x:t>
  </x:si>
  <x:si>
    <x:t xml:space="preserve">Border gray</x:t>
  </x:si>
  <x:si>
    <x:t xml:space="preserve">#D9E1E7</x:t>
  </x:si>
  <x:si>
    <x:t xml:space="preserve">Light framing and separation</x:t>
  </x:si>
  <x:si>
    <x:t xml:space="preserve">Muted slate</x:t>
  </x:si>
  <x:si>
    <x:t xml:space="preserve">#5E6C78</x:t>
  </x:si>
  <x:si>
    <x:t xml:space="preserve">Subtitles, labels, and secondary text</x:t>
  </x:si>
  <x:si>
    <x:t xml:space="preserve">Fill</x:t>
  </x:si>
  <x:si>
    <x:t xml:space="preserve">Text</x:t>
  </x:si>
  <x:si>
    <x:t xml:space="preserve">On track / complete</x:t>
  </x:si>
  <x:si>
    <x:t xml:space="preserve">#DDE8DF</x:t>
  </x:si>
  <x:si>
    <x:t xml:space="preserve">#3F6248</x:t>
  </x:si>
  <x:si>
    <x:t xml:space="preserve">Finished work, approved checks, and completed decisions</x:t>
  </x:si>
  <x:si>
    <x:t xml:space="preserve">In progress / watch</x:t>
  </x:si>
  <x:si>
    <x:t xml:space="preserve">#F5E4BF</x:t>
  </x:si>
  <x:si>
    <x:t xml:space="preserve">#7B571B</x:t>
  </x:si>
  <x:si>
    <x:t xml:space="preserve">Active work and items that need attention</x:t>
  </x:si>
  <x:si>
    <x:t xml:space="preserve">At risk / critical</x:t>
  </x:si>
  <x:si>
    <x:t xml:space="preserve">#F0D6D1</x:t>
  </x:si>
  <x:si>
    <x:t xml:space="preserve">#7B4038</x:t>
  </x:si>
  <x:si>
    <x:t xml:space="preserve">Schedule, cost, or dependency problems</x:t>
  </x:si>
  <x:si>
    <x:t xml:space="preserve">Not started / review</x:t>
  </x:si>
  <x:si>
    <x:t xml:space="preserve">#E9EDF0</x:t>
  </x:si>
  <x:si>
    <x:t xml:space="preserve">#59636D</x:t>
  </x:si>
  <x:si>
    <x:t xml:space="preserve">Planned work or items waiting for confirmation</x:t>
  </x:si>
  <x:si>
    <x:t xml:space="preserve">Use navy for structure, orange for deliberate emphasis, ivory for readability, and status colors only when they communicate project condition.</x:t>
  </x:si>
  <x:si>
    <x:t xml:space="preserve">Aircraft Return-to-Service Project Controls Workbook</x:t>
  </x:si>
  <x:si>
    <x:t xml:space="preserve">Purpose and Responsible Use</x:t>
  </x:si>
  <x:si>
    <x:t xml:space="preserve">This workbook demonstrates how Flowshua can structure an aircraft return-to-service project using scope, schedule, cost, procurement, quality, RAIDD, and closeout controls. All aircraft, dates, costs, parts, organizations, and project details are fictional. This is not a maintenance procedure, official government form, technical instruction, or federal contract past-performance claim.</x:t>
  </x:si>
  <x:si>
    <x:t xml:space="preserve">Workbook Navigation</x:t>
  </x:si>
  <x:si>
    <x:t xml:space="preserve">Purpose</x:t>
  </x:si>
  <x:si>
    <x:t xml:space="preserve">Primary Inputs</x:t>
  </x:si>
  <x:si>
    <x:t xml:space="preserve">Key Outputs</x:t>
  </x:si>
  <x:si>
    <x:t xml:space="preserve">Leadership snapshot</x:t>
  </x:si>
  <x:si>
    <x:t xml:space="preserve">Supporting tabs</x:t>
  </x:si>
  <x:si>
    <x:t xml:space="preserve">Progress, health, open items, budget, and readiness</x:t>
  </x:si>
  <x:si>
    <x:t xml:space="preserve">Purpose, scope, roles, and boundaries</x:t>
  </x:si>
  <x:si>
    <x:t xml:space="preserve">Project assumptions</x:t>
  </x:si>
  <x:si>
    <x:t xml:space="preserve">Approved project-control framework</x:t>
  </x:si>
  <x:si>
    <x:t xml:space="preserve">Work breakdown and ownership</x:t>
  </x:si>
  <x:si>
    <x:t xml:space="preserve">Status and percent complete</x:t>
  </x:si>
  <x:si>
    <x:t xml:space="preserve">Weighted progress and dependencies</x:t>
  </x:si>
  <x:si>
    <x:t xml:space="preserve">12-week recovery plan</x:t>
  </x:si>
  <x:si>
    <x:t xml:space="preserve">Start and finish weeks</x:t>
  </x:si>
  <x:si>
    <x:t xml:space="preserve">Timeline and schedule health</x:t>
  </x:si>
  <x:si>
    <x:t xml:space="preserve">Cost plan and forecast</x:t>
  </x:si>
  <x:si>
    <x:t xml:space="preserve">Planned, committed, and expected cost</x:t>
  </x:si>
  <x:si>
    <x:t xml:space="preserve">Forecast variance and budget remaining</x:t>
  </x:si>
  <x:si>
    <x:t xml:space="preserve">Parts and external support tracking</x:t>
  </x:si>
  <x:si>
    <x:t xml:space="preserve">Arrival forecast and status</x:t>
  </x:si>
  <x:si>
    <x:t xml:space="preserve">Schedule exposure and next steps</x:t>
  </x:si>
  <x:si>
    <x:t xml:space="preserve">Gate status and evidence needs</x:t>
  </x:si>
  <x:si>
    <x:t xml:space="preserve">Risk and decision control</x:t>
  </x:si>
  <x:si>
    <x:t xml:space="preserve">Owner, priority, due week, status</x:t>
  </x:si>
  <x:si>
    <x:t xml:space="preserve">Management attention and follow-through</x:t>
  </x:si>
  <x:si>
    <x:t xml:space="preserve">Closeout and reuse</x:t>
  </x:si>
  <x:si>
    <x:t xml:space="preserve">Observed outcomes and actions</x:t>
  </x:si>
  <x:si>
    <x:t xml:space="preserve">Repeatable practices and closeout checklist</x:t>
  </x:si>
  <x:si>
    <x:t xml:space="preserve">How to Use the Sample</x:t>
  </x:si>
  <x:si>
    <x:t xml:space="preserve">1</x:t>
  </x:si>
  <x:si>
    <x:t xml:space="preserve">Review the Project Dashboard for the current management picture</x:t>
  </x:si>
  <x:si>
    <x:t xml:space="preserve">2</x:t>
  </x:si>
  <x:si>
    <x:t xml:space="preserve">Update status, percent complete, costs, arrivals, and RAIDD records in the working tabs</x:t>
  </x:si>
  <x:si>
    <x:t xml:space="preserve">3</x:t>
  </x:si>
  <x:si>
    <x:t xml:space="preserve">Use the schedule, budget, and gate views to identify forecast exposure</x:t>
  </x:si>
  <x:si>
    <x:t xml:space="preserve">4</x:t>
  </x:si>
  <x:si>
    <x:t xml:space="preserve">Use the dashboard and lessons-learned views for leadership reporting and closeout</x:t>
  </x:si>
  <x:si>
    <x:t xml:space="preserve">5</x:t>
  </x:si>
  <x:si>
    <x:t xml:space="preserve">Replace all fictional data before adapting this structure for an authorized client engagement</x:t>
  </x:si>
</x:sst>
</file>

<file path=xl/styles.xml><?xml version="1.0" encoding="utf-8"?>
<x:styleSheet xmlns:x="http://schemas.openxmlformats.org/spreadsheetml/2006/main">
  <x:numFmts count="2">
    <x:numFmt numFmtId="164" formatCode="\$#,##0"/>
    <x:numFmt numFmtId="165" formatCode="&quot;Week &quot;0"/>
  </x:numFmts>
  <x:fonts count="27">
    <x:font>
      <x:sz val="11"/>
      <x:name val="Carlito"/>
    </x:font>
    <x:font>
      <x:sz val="11"/>
      <x:color rgb="FF3B3430"/>
      <x:name val="Carlito"/>
    </x:font>
    <x:font>
      <x:sz val="11"/>
      <x:color rgb="FFFFFFFF"/>
      <x:name val="Carlito"/>
    </x:font>
    <x:font>
      <x:b/>
      <x:sz val="11"/>
      <x:color rgb="FFFFFFFF"/>
      <x:name val="Candara"/>
    </x:font>
    <x:font>
      <x:sz val="11"/>
      <x:color rgb="FF7A6F66"/>
      <x:name val="Candara"/>
    </x:font>
    <x:font>
      <x:sz val="11"/>
      <x:name val="Candara"/>
    </x:font>
    <x:font>
      <x:sz val="11"/>
      <x:color rgb="FF3B3430"/>
      <x:name val="Candara"/>
    </x:font>
    <x:font>
      <x:b/>
      <x:sz val="11"/>
      <x:color rgb="FF7A6F66"/>
      <x:name val="Candara"/>
    </x:font>
    <x:font>
      <x:b/>
      <x:sz val="11"/>
      <x:color rgb="FF3B3430"/>
      <x:name val="Candara"/>
    </x:font>
    <x:font>
      <x:sz val="18"/>
      <x:color rgb="FFFFFFFF"/>
      <x:name val="Candara"/>
    </x:font>
    <x:font>
      <x:b/>
      <x:sz val="20"/>
      <x:color rgb="FFFFFFFF"/>
      <x:name val="Candara"/>
    </x:font>
    <x:font>
      <x:sz val="14"/>
      <x:color rgb="FF7A6F66"/>
      <x:name val="Candara"/>
    </x:font>
    <x:font>
      <x:b/>
      <x:sz val="20"/>
      <x:color rgb="FFFFFFFF"/>
      <x:name val="Aptos Display"/>
    </x:font>
    <x:font>
      <x:sz val="12"/>
      <x:color rgb="FF5E6C78"/>
      <x:name val="Aptos"/>
    </x:font>
    <x:font>
      <x:sz val="11"/>
      <x:color rgb="FFFFFFFF"/>
      <x:name val="Aptos"/>
    </x:font>
    <x:font>
      <x:b/>
      <x:sz val="10"/>
      <x:color rgb="FF102A43"/>
      <x:name val="Aptos"/>
    </x:font>
    <x:font>
      <x:b/>
      <x:sz val="12"/>
      <x:color rgb="FF243444"/>
      <x:name val="Aptos"/>
    </x:font>
    <x:font>
      <x:sz val="9"/>
      <x:color rgb="FF5E6C78"/>
      <x:name val="Aptos"/>
    </x:font>
    <x:font>
      <x:b/>
      <x:sz val="12"/>
      <x:color rgb="FFFFFFFF"/>
      <x:name val="Aptos"/>
    </x:font>
    <x:font>
      <x:b/>
      <x:sz val="10"/>
      <x:color rgb="FFFFFFFF"/>
      <x:name val="Aptos"/>
    </x:font>
    <x:font>
      <x:sz val="10"/>
      <x:color rgb="FF243444"/>
      <x:name val="Aptos"/>
    </x:font>
    <x:font>
      <x:b/>
      <x:sz val="10"/>
      <x:color rgb="FF243444"/>
      <x:name val="Aptos"/>
    </x:font>
    <x:font>
      <x:sz val="11"/>
      <x:color rgb="FF5E6C78"/>
      <x:name val="Aptos"/>
    </x:font>
    <x:font>
      <x:sz val="11"/>
      <x:color rgb="FF243444"/>
      <x:name val="Aptos"/>
    </x:font>
    <x:font>
      <x:b/>
      <x:sz val="11"/>
      <x:color rgb="FFFFFFFF"/>
      <x:name val="Aptos"/>
    </x:font>
    <x:font>
      <x:b/>
      <x:sz val="14"/>
      <x:color rgb="FF243444"/>
      <x:name val="Aptos"/>
    </x:font>
    <x:font>
      <x:b/>
      <x:sz val="12"/>
      <x:color rgb="FF7B571B"/>
      <x:name val="Aptos"/>
    </x:font>
  </x:fonts>
  <x:fills count="23">
    <x:fill>
      <x:patternFill patternType="none"/>
    </x:fill>
    <x:fill>
      <x:patternFill patternType="gray125"/>
    </x:fill>
    <x:fill>
      <x:patternFill patternType="solid">
        <x:fgColor rgb="FFFFFDFC"/>
      </x:patternFill>
    </x:fill>
    <x:fill>
      <x:patternFill patternType="solid">
        <x:fgColor rgb="FF3B3430"/>
      </x:patternFill>
    </x:fill>
    <x:fill>
      <x:patternFill patternType="solid">
        <x:fgColor rgb="FFF7F3ED"/>
      </x:patternFill>
    </x:fill>
    <x:fill>
      <x:patternFill patternType="solid">
        <x:fgColor rgb="FFB8946D"/>
      </x:patternFill>
    </x:fill>
    <x:fill>
      <x:patternFill patternType="solid">
        <x:fgColor rgb="FFEFE2D3"/>
      </x:patternFill>
    </x:fill>
    <x:fill>
      <x:patternFill patternType="solid">
        <x:fgColor rgb="FFDDE8DF"/>
      </x:patternFill>
    </x:fill>
    <x:fill>
      <x:patternFill patternType="solid">
        <x:fgColor rgb="FFECD2CD"/>
      </x:patternFill>
    </x:fill>
    <x:fill>
      <x:patternFill patternType="solid">
        <x:fgColor rgb="FF102A43"/>
      </x:patternFill>
    </x:fill>
    <x:fill>
      <x:patternFill patternType="solid">
        <x:fgColor rgb="FFF8F5EF"/>
      </x:patternFill>
    </x:fill>
    <x:fill>
      <x:patternFill patternType="solid">
        <x:fgColor rgb="FFF47C20"/>
      </x:patternFill>
    </x:fill>
    <x:fill>
      <x:patternFill patternType="solid">
        <x:fgColor rgb="FFE8EEF3"/>
      </x:patternFill>
    </x:fill>
    <x:fill>
      <x:patternFill patternType="solid">
        <x:fgColor rgb="FF173F5F"/>
      </x:patternFill>
    </x:fill>
    <x:fill>
      <x:patternFill patternType="solid">
        <x:fgColor rgb="FFFFFFFF"/>
      </x:patternFill>
    </x:fill>
    <x:fill>
      <x:patternFill patternType="solid">
        <x:fgColor rgb="FFD9E1E7"/>
      </x:patternFill>
    </x:fill>
    <x:fill>
      <x:patternFill patternType="solid">
        <x:fgColor rgb="FF5E6C78"/>
      </x:patternFill>
    </x:fill>
    <x:fill>
      <x:patternFill patternType="solid">
        <x:fgColor rgb="FFDDE8DF"/>
      </x:patternFill>
    </x:fill>
    <x:fill>
      <x:patternFill patternType="solid">
        <x:fgColor rgb="FFF5E4BF"/>
      </x:patternFill>
    </x:fill>
    <x:fill>
      <x:patternFill patternType="solid">
        <x:fgColor rgb="FFF0D6D1"/>
      </x:patternFill>
    </x:fill>
    <x:fill>
      <x:patternFill patternType="solid">
        <x:fgColor rgb="FFE9EDF0"/>
      </x:patternFill>
    </x:fill>
    <x:fill>
      <x:patternFill patternType="solid">
        <x:fgColor rgb="FFF5E4BF"/>
      </x:patternFill>
    </x:fill>
    <x:fill>
      <x:patternFill patternType="solid">
        <x:fgColor rgb="FFF5E4BF"/>
      </x:patternFill>
    </x:fill>
  </x:fills>
  <x:borders count="9">
    <x:border/>
    <x:border>
      <x:left style="thin">
        <x:color rgb="FFD9E1E7"/>
      </x:left>
      <x:top style="thin">
        <x:color rgb="FFD9E1E7"/>
      </x:top>
    </x:border>
    <x:border>
      <x:top style="thin">
        <x:color rgb="FFD9E1E7"/>
      </x:top>
    </x:border>
    <x:border>
      <x:right style="thin">
        <x:color rgb="FFD9E1E7"/>
      </x:right>
      <x:top style="thin">
        <x:color rgb="FFD9E1E7"/>
      </x:top>
    </x:border>
    <x:border>
      <x:left style="thin">
        <x:color rgb="FFD9E1E7"/>
      </x:left>
    </x:border>
    <x:border>
      <x:right style="thin">
        <x:color rgb="FFD9E1E7"/>
      </x:right>
    </x:border>
    <x:border>
      <x:left style="thin">
        <x:color rgb="FFD9E1E7"/>
      </x:left>
      <x:bottom style="thin">
        <x:color rgb="FFD9E1E7"/>
      </x:bottom>
    </x:border>
    <x:border>
      <x:bottom style="thin">
        <x:color rgb="FFD9E1E7"/>
      </x:bottom>
    </x:border>
    <x:border>
      <x:right style="thin">
        <x:color rgb="FFD9E1E7"/>
      </x:right>
      <x:bottom style="thin">
        <x:color rgb="FFD9E1E7"/>
      </x:bottom>
    </x:border>
  </x:borders>
  <x:cellStyleXfs count="1">
    <x:xf numFmtId="0" fontId="0" fillId="0" borderId="0"/>
  </x:cellStyleXfs>
  <x:cellXfs count="102">
    <x:xf numFmtId="0" fontId="0" fillId="0" borderId="0" xfId="0"/>
    <x:xf numFmtId="0" fontId="1" fillId="2" borderId="0" xfId="0" applyFont="1" applyFill="1"/>
    <x:xf numFmtId="0" fontId="6" fillId="2" borderId="0" xfId="0" applyFont="1" applyFill="1"/>
    <x:xf numFmtId="0" fontId="6" fillId="2" borderId="0" xfId="0" applyFont="1" applyFill="1" applyAlignment="1">
      <x:alignment horizontal="center" vertical="center"/>
    </x:xf>
    <x:xf numFmtId="0" fontId="5" fillId="0" borderId="0" xfId="0" applyFont="1" applyAlignment="1">
      <x:alignment horizontal="center" vertical="center"/>
    </x:xf>
    <x:xf numFmtId="0" fontId="20" fillId="4" borderId="0" xfId="0" applyFont="1" applyFill="1" applyAlignment="1">
      <x:alignment horizontal="center" vertical="center" wrapText="1"/>
    </x:xf>
    <x:xf numFmtId="0" fontId="20" fillId="2" borderId="0" xfId="0" applyFont="1" applyFill="1" applyAlignment="1">
      <x:alignment vertical="center" wrapText="1"/>
    </x:xf>
    <x:xf numFmtId="0" fontId="20" fillId="4" borderId="0" xfId="0" applyFont="1" applyFill="1" applyAlignment="1">
      <x:alignment vertical="center" wrapText="1"/>
    </x:xf>
    <x:xf numFmtId="164" fontId="20" fillId="4" borderId="0" xfId="0" applyNumberFormat="1" applyFont="1" applyFill="1" applyAlignment="1">
      <x:alignment vertical="center" wrapText="1"/>
    </x:xf>
    <x:xf numFmtId="0" fontId="20" fillId="2" borderId="0" xfId="0" applyFont="1" applyFill="1" applyAlignment="1">
      <x:alignment vertical="center"/>
    </x:xf>
    <x:xf numFmtId="0" fontId="21" fillId="3" borderId="0" xfId="0" applyFont="1" applyFill="1" applyAlignment="1">
      <x:alignment horizontal="center" vertical="center"/>
    </x:xf>
    <x:xf numFmtId="0" fontId="20" fillId="2" borderId="0" xfId="0" applyFont="1" applyFill="1" applyAlignment="1">
      <x:alignment horizontal="center" vertical="center"/>
    </x:xf>
    <x:xf numFmtId="0" fontId="21" fillId="6" borderId="0" xfId="0" applyFont="1" applyFill="1" applyAlignment="1">
      <x:alignment horizontal="center" vertical="center" wrapText="1"/>
    </x:xf>
    <x:xf numFmtId="0" fontId="20" fillId="2" borderId="0" xfId="0" applyFont="1" applyFill="1" applyAlignment="1">
      <x:alignment horizontal="center" vertical="center" wrapText="1"/>
    </x:xf>
    <x:xf numFmtId="0" fontId="21" fillId="7" borderId="0" xfId="0" applyFont="1" applyFill="1" applyAlignment="1">
      <x:alignment horizontal="center" vertical="center" wrapText="1"/>
    </x:xf>
    <x:xf numFmtId="0" fontId="21" fillId="8" borderId="0" xfId="0" applyFont="1" applyFill="1" applyAlignment="1">
      <x:alignment horizontal="center" vertical="center" wrapText="1"/>
    </x:xf>
    <x:xf numFmtId="0" fontId="21" fillId="3" borderId="0" xfId="0" applyFont="1" applyFill="1" applyAlignment="1">
      <x:alignment horizontal="center" vertical="center" wrapText="1"/>
    </x:xf>
    <x:xf numFmtId="1" fontId="20" fillId="2" borderId="0" xfId="0" applyNumberFormat="1" applyFont="1" applyFill="1" applyAlignment="1">
      <x:alignment horizontal="center" vertical="center" wrapText="1"/>
    </x:xf>
    <x:xf numFmtId="9" fontId="20" fillId="2" borderId="0" xfId="0" applyNumberFormat="1" applyFont="1" applyFill="1" applyAlignment="1">
      <x:alignment horizontal="center" vertical="center" wrapText="1"/>
    </x:xf>
    <x:xf numFmtId="0" fontId="20" fillId="2" borderId="0" xfId="0" applyFont="1" applyFill="1" applyAlignment="1">
      <x:alignment horizontal="left" vertical="center" wrapText="1"/>
    </x:xf>
    <x:xf numFmtId="164" fontId="20" fillId="2" borderId="0" xfId="0" applyNumberFormat="1" applyFont="1" applyFill="1" applyAlignment="1">
      <x:alignment horizontal="center" vertical="center" wrapText="1"/>
    </x:xf>
    <x:xf numFmtId="164" fontId="21" fillId="6" borderId="0" xfId="0" applyNumberFormat="1" applyFont="1" applyFill="1" applyAlignment="1">
      <x:alignment horizontal="center" vertical="center" wrapText="1"/>
    </x:xf>
    <x:xf numFmtId="0" fontId="20" fillId="0" borderId="0" xfId="0" applyFont="1" applyAlignment="1">
      <x:alignment horizontal="center" vertical="center"/>
    </x:xf>
    <x:xf numFmtId="0" fontId="20" fillId="0" borderId="0" xfId="0" applyFont="1" applyAlignment="1">
      <x:alignment vertical="center" wrapText="1"/>
    </x:xf>
    <x:xf numFmtId="0" fontId="0" fillId="0" borderId="4" xfId="0" applyBorder="1"/>
    <x:xf numFmtId="0" fontId="0" fillId="0" borderId="5" xfId="0" applyBorder="1"/>
    <x:xf numFmtId="0" fontId="20" fillId="0" borderId="4" xfId="0" applyFont="1" applyBorder="1" applyAlignment="1">
      <x:alignment vertical="center" wrapText="1"/>
    </x:xf>
    <x:xf numFmtId="0" fontId="25" fillId="2" borderId="0" xfId="0" applyFont="1" applyFill="1" applyAlignment="1">
      <x:alignment horizontal="center" vertical="center" wrapText="1"/>
    </x:xf>
    <x:xf numFmtId="0" fontId="21" fillId="9" borderId="0" xfId="0" applyFont="1" applyFill="1" applyAlignment="1">
      <x:alignment horizontal="center" vertical="center" wrapText="1"/>
    </x:xf>
    <x:xf numFmtId="0" fontId="19" fillId="9" borderId="0" xfId="0" applyFont="1" applyFill="1" applyAlignment="1">
      <x:alignment horizontal="center" vertical="center" wrapText="1"/>
    </x:xf>
    <x:xf numFmtId="0" fontId="21" fillId="13" borderId="0" xfId="0" applyFont="1" applyFill="1" applyAlignment="1">
      <x:alignment horizontal="center" vertical="center" wrapText="1"/>
    </x:xf>
    <x:xf numFmtId="165" fontId="19" fillId="9" borderId="0" xfId="0" applyNumberFormat="1" applyFont="1" applyFill="1" applyAlignment="1">
      <x:alignment horizontal="center" vertical="center" wrapText="1"/>
    </x:xf>
    <x:xf numFmtId="0" fontId="21" fillId="9" borderId="0" xfId="0" applyFont="1" applyFill="1" applyAlignment="1">
      <x:alignment horizontal="left" vertical="center" wrapText="1"/>
    </x:xf>
    <x:xf numFmtId="0" fontId="20" fillId="9" borderId="0" xfId="0" applyFont="1" applyFill="1" applyAlignment="1">
      <x:alignment horizontal="center" vertical="center"/>
    </x:xf>
    <x:xf numFmtId="0" fontId="20" fillId="13" borderId="0" xfId="0" applyFont="1" applyFill="1" applyAlignment="1">
      <x:alignment horizontal="center" vertical="center"/>
    </x:xf>
    <x:xf numFmtId="0" fontId="20" fillId="11" borderId="0" xfId="0" applyFont="1" applyFill="1" applyAlignment="1">
      <x:alignment horizontal="center" vertical="center"/>
    </x:xf>
    <x:xf numFmtId="0" fontId="20" fillId="10" borderId="0" xfId="0" applyFont="1" applyFill="1" applyAlignment="1">
      <x:alignment horizontal="center" vertical="center"/>
    </x:xf>
    <x:xf numFmtId="0" fontId="20" fillId="14" borderId="0" xfId="0" applyFont="1" applyFill="1" applyAlignment="1">
      <x:alignment horizontal="center" vertical="center"/>
    </x:xf>
    <x:xf numFmtId="0" fontId="20" fillId="15" borderId="0" xfId="0" applyFont="1" applyFill="1" applyAlignment="1">
      <x:alignment horizontal="center" vertical="center"/>
    </x:xf>
    <x:xf numFmtId="0" fontId="20" fillId="16" borderId="0" xfId="0" applyFont="1" applyFill="1" applyAlignment="1">
      <x:alignment horizontal="center" vertical="center"/>
    </x:xf>
    <x:xf numFmtId="0" fontId="21" fillId="17" borderId="0" xfId="0" applyFont="1" applyFill="1" applyAlignment="1">
      <x:alignment horizontal="center" vertical="center"/>
    </x:xf>
    <x:xf numFmtId="0" fontId="21" fillId="18" borderId="0" xfId="0" applyFont="1" applyFill="1" applyAlignment="1">
      <x:alignment horizontal="center" vertical="center"/>
    </x:xf>
    <x:xf numFmtId="0" fontId="21" fillId="19" borderId="0" xfId="0" applyFont="1" applyFill="1" applyAlignment="1">
      <x:alignment horizontal="center" vertical="center"/>
    </x:xf>
    <x:xf numFmtId="0" fontId="21" fillId="20" borderId="0" xfId="0" applyFont="1" applyFill="1" applyAlignment="1">
      <x:alignment horizontal="center" vertical="center"/>
    </x:xf>
    <x:xf numFmtId="0" fontId="0" fillId="11" borderId="4" xfId="0" applyFill="1" applyBorder="1"/>
    <x:xf numFmtId="0" fontId="0" fillId="11" borderId="0" xfId="0" applyFill="1"/>
    <x:xf numFmtId="0" fontId="0" fillId="11" borderId="5" xfId="0" applyFill="1" applyBorder="1"/>
    <x:xf numFmtId="0" fontId="19" fillId="9" borderId="4" xfId="0" applyFont="1" applyFill="1" applyBorder="1" applyAlignment="1">
      <x:alignment horizontal="center" vertical="center" wrapText="1"/>
    </x:xf>
    <x:xf numFmtId="0" fontId="24" fillId="11" borderId="4" xfId="0" applyFont="1" applyFill="1" applyBorder="1" applyAlignment="1">
      <x:alignment vertical="center" wrapText="1"/>
    </x:xf>
    <x:xf numFmtId="0" fontId="24" fillId="11" borderId="6" xfId="0" applyFont="1" applyFill="1" applyBorder="1" applyAlignment="1">
      <x:alignment vertical="center" wrapText="1"/>
    </x:xf>
    <x:xf numFmtId="0" fontId="20" fillId="4" borderId="0" xfId="0" applyFont="1" applyFill="1" applyAlignment="1">
      <x:alignment horizontal="left" vertical="center" wrapText="1"/>
    </x:xf>
    <x:xf numFmtId="0" fontId="19" fillId="13" borderId="0" xfId="0" applyFont="1" applyFill="1" applyAlignment="1">
      <x:alignment horizontal="center" vertical="center"/>
    </x:xf>
    <x:xf numFmtId="0" fontId="18" fillId="13" borderId="0" xfId="0" applyFont="1" applyFill="1" applyAlignment="1">
      <x:alignment horizontal="center" vertical="center"/>
    </x:xf>
    <x:xf numFmtId="0" fontId="20" fillId="4" borderId="0" xfId="0" applyFont="1" applyFill="1" applyAlignment="1">
      <x:alignment horizontal="center" vertical="center" wrapText="1"/>
    </x:xf>
    <x:xf numFmtId="0" fontId="20" fillId="6" borderId="0" xfId="0" applyFont="1" applyFill="1" applyAlignment="1">
      <x:alignment horizontal="center" vertical="center" wrapText="1"/>
    </x:xf>
    <x:xf numFmtId="0" fontId="15" fillId="12" borderId="0" xfId="0" applyFont="1" applyFill="1" applyAlignment="1">
      <x:alignment horizontal="center" vertical="center"/>
    </x:xf>
    <x:xf numFmtId="0" fontId="16" fillId="2" borderId="0" xfId="0" applyFont="1" applyFill="1" applyAlignment="1">
      <x:alignment horizontal="center" vertical="center"/>
    </x:xf>
    <x:xf numFmtId="0" fontId="17" fillId="4" borderId="0" xfId="0" applyFont="1" applyFill="1" applyAlignment="1">
      <x:alignment horizontal="center" vertical="center" wrapText="1"/>
    </x:xf>
    <x:xf numFmtId="0" fontId="12" fillId="9" borderId="0" xfId="0" applyFont="1" applyFill="1" applyAlignment="1">
      <x:alignment horizontal="center" vertical="center"/>
    </x:xf>
    <x:xf numFmtId="0" fontId="13" fillId="10" borderId="0" xfId="0" applyFont="1" applyFill="1" applyAlignment="1">
      <x:alignment horizontal="center" vertical="center"/>
    </x:xf>
    <x:xf numFmtId="0" fontId="5" fillId="11" borderId="0" xfId="0" applyFont="1" applyFill="1" applyAlignment="1">
      <x:alignment vertical="center"/>
    </x:xf>
    <x:xf numFmtId="0" fontId="14" fillId="9" borderId="0" xfId="0" applyFont="1" applyFill="1" applyAlignment="1">
      <x:alignment horizontal="center" vertical="center"/>
    </x:xf>
    <x:xf numFmtId="9" fontId="16" fillId="2" borderId="0" xfId="0" applyNumberFormat="1" applyFont="1" applyFill="1" applyAlignment="1">
      <x:alignment horizontal="center" vertical="center"/>
    </x:xf>
    <x:xf numFmtId="0" fontId="21" fillId="13" borderId="0" xfId="0" applyFont="1" applyFill="1" applyAlignment="1">
      <x:alignment horizontal="center" vertical="center" wrapText="1"/>
    </x:xf>
    <x:xf numFmtId="0" fontId="20" fillId="2" borderId="0" xfId="0" applyFont="1" applyFill="1" applyAlignment="1">
      <x:alignment horizontal="center" vertical="center" wrapText="1"/>
    </x:xf>
    <x:xf numFmtId="0" fontId="0" fillId="11" borderId="0" xfId="0" applyFill="1" applyAlignment="1">
      <x:alignment vertical="center"/>
    </x:xf>
    <x:xf numFmtId="0" fontId="5" fillId="11" borderId="0" xfId="0" applyFont="1" applyFill="1" applyAlignment="1">
      <x:alignment horizontal="center" vertical="center"/>
    </x:xf>
    <x:xf numFmtId="0" fontId="7" fillId="6" borderId="0" xfId="0" applyFont="1" applyFill="1" applyAlignment="1">
      <x:alignment horizontal="center" vertical="center"/>
    </x:xf>
    <x:xf numFmtId="0" fontId="8" fillId="2" borderId="0" xfId="0" applyFont="1" applyFill="1" applyAlignment="1">
      <x:alignment horizontal="center" vertical="center"/>
    </x:xf>
    <x:xf numFmtId="0" fontId="4" fillId="4" borderId="0" xfId="0" applyFont="1" applyFill="1" applyAlignment="1">
      <x:alignment horizontal="center" vertical="center" wrapText="1"/>
    </x:xf>
    <x:xf numFmtId="0" fontId="10" fillId="3" borderId="0" xfId="0" applyFont="1" applyFill="1" applyAlignment="1">
      <x:alignment horizontal="center" vertical="center"/>
    </x:xf>
    <x:xf numFmtId="0" fontId="11" fillId="4" borderId="0" xfId="0" applyFont="1" applyFill="1" applyAlignment="1">
      <x:alignment horizontal="center" vertical="center"/>
    </x:xf>
    <x:xf numFmtId="0" fontId="5" fillId="5" borderId="0" xfId="0" applyFont="1" applyFill="1" applyAlignment="1">
      <x:alignment horizontal="center" vertical="center"/>
    </x:xf>
    <x:xf numFmtId="0" fontId="9" fillId="3" borderId="0" xfId="0" applyFont="1" applyFill="1" applyAlignment="1">
      <x:alignment horizontal="center" vertical="center"/>
    </x:xf>
    <x:xf numFmtId="164" fontId="16" fillId="2" borderId="0" xfId="0" applyNumberFormat="1" applyFont="1" applyFill="1" applyAlignment="1">
      <x:alignment horizontal="center" vertical="center"/>
    </x:xf>
    <x:xf numFmtId="0" fontId="21" fillId="13" borderId="0" xfId="0" applyFont="1" applyFill="1" applyAlignment="1">
      <x:alignment horizontal="left" vertical="center" wrapText="1"/>
    </x:xf>
    <x:xf numFmtId="0" fontId="3" fillId="3" borderId="0" xfId="0" applyFont="1" applyFill="1" applyAlignment="1">
      <x:alignment horizontal="center" vertical="center"/>
    </x:xf>
    <x:xf numFmtId="0" fontId="4" fillId="4" borderId="0" xfId="0" applyFont="1" applyFill="1" applyAlignment="1">
      <x:alignment horizontal="center" vertical="center"/>
    </x:xf>
    <x:xf numFmtId="0" fontId="6" fillId="6" borderId="0" xfId="0" applyFont="1" applyFill="1" applyAlignment="1">
      <x:alignment horizontal="center" vertical="center" wrapText="1"/>
    </x:xf>
    <x:xf numFmtId="0" fontId="2" fillId="3" borderId="0" xfId="0" applyFont="1" applyFill="1" applyAlignment="1">
      <x:alignment horizontal="center"/>
    </x:xf>
    <x:xf numFmtId="0" fontId="12" fillId="9" borderId="1" xfId="0" applyFont="1" applyFill="1" applyBorder="1" applyAlignment="1">
      <x:alignment horizontal="center" vertical="center"/>
    </x:xf>
    <x:xf numFmtId="0" fontId="12" fillId="9" borderId="2" xfId="0" applyFont="1" applyFill="1" applyBorder="1" applyAlignment="1">
      <x:alignment horizontal="center" vertical="center"/>
    </x:xf>
    <x:xf numFmtId="0" fontId="12" fillId="9" borderId="3" xfId="0" applyFont="1" applyFill="1" applyBorder="1" applyAlignment="1">
      <x:alignment horizontal="center" vertical="center"/>
    </x:xf>
    <x:xf numFmtId="0" fontId="22" fillId="10" borderId="4" xfId="0" applyFont="1" applyFill="1" applyBorder="1" applyAlignment="1">
      <x:alignment horizontal="center"/>
    </x:xf>
    <x:xf numFmtId="0" fontId="22" fillId="10" borderId="0" xfId="0" applyFont="1" applyFill="1" applyAlignment="1">
      <x:alignment horizontal="center"/>
    </x:xf>
    <x:xf numFmtId="0" fontId="22" fillId="10" borderId="5" xfId="0" applyFont="1" applyFill="1" applyBorder="1" applyAlignment="1">
      <x:alignment horizontal="center"/>
    </x:xf>
    <x:xf numFmtId="0" fontId="18" fillId="13" borderId="4" xfId="0" applyFont="1" applyFill="1" applyBorder="1" applyAlignment="1">
      <x:alignment horizontal="center" vertical="center"/>
    </x:xf>
    <x:xf numFmtId="0" fontId="18" fillId="13" borderId="5" xfId="0" applyFont="1" applyFill="1" applyBorder="1" applyAlignment="1">
      <x:alignment horizontal="center" vertical="center"/>
    </x:xf>
    <x:xf numFmtId="0" fontId="23" fillId="10" borderId="4" xfId="0" applyFont="1" applyFill="1" applyBorder="1" applyAlignment="1">
      <x:alignment vertical="center" wrapText="1"/>
    </x:xf>
    <x:xf numFmtId="0" fontId="23" fillId="10" borderId="0" xfId="0" applyFont="1" applyFill="1" applyAlignment="1">
      <x:alignment vertical="center" wrapText="1"/>
    </x:xf>
    <x:xf numFmtId="0" fontId="23" fillId="10" borderId="5" xfId="0" applyFont="1" applyFill="1" applyBorder="1" applyAlignment="1">
      <x:alignment vertical="center" wrapText="1"/>
    </x:xf>
    <x:xf numFmtId="0" fontId="23" fillId="14" borderId="0" xfId="0" applyFont="1" applyFill="1" applyAlignment="1">
      <x:alignment vertical="center" wrapText="1"/>
    </x:xf>
    <x:xf numFmtId="0" fontId="23" fillId="14" borderId="5" xfId="0" applyFont="1" applyFill="1" applyBorder="1" applyAlignment="1">
      <x:alignment vertical="center" wrapText="1"/>
    </x:xf>
    <x:xf numFmtId="0" fontId="23" fillId="14" borderId="7" xfId="0" applyFont="1" applyFill="1" applyBorder="1" applyAlignment="1">
      <x:alignment vertical="center" wrapText="1"/>
    </x:xf>
    <x:xf numFmtId="0" fontId="23" fillId="14" borderId="8" xfId="0" applyFont="1" applyFill="1" applyBorder="1" applyAlignment="1">
      <x:alignment vertical="center" wrapText="1"/>
    </x:xf>
    <x:xf numFmtId="0" fontId="13" fillId="10" borderId="0" xfId="0" applyNumberFormat="1" applyFont="1" applyFill="1" applyBorder="1" applyAlignment="1">
      <x:alignment horizontal="center" vertical="center" wrapText="1"/>
    </x:xf>
    <x:xf numFmtId="0" fontId="22" fillId="10" borderId="4" xfId="0" applyNumberFormat="1" applyFont="1" applyFill="1" applyBorder="1" applyAlignment="1">
      <x:alignment horizontal="center" wrapText="1"/>
    </x:xf>
    <x:xf numFmtId="0" fontId="16" fillId="21" borderId="0" xfId="0" applyNumberFormat="1" applyFont="1" applyFill="1" applyBorder="1" applyAlignment="1">
      <x:alignment horizontal="center" vertical="center"/>
    </x:xf>
    <x:xf numFmtId="0" fontId="26" fillId="21" borderId="0" xfId="0" applyNumberFormat="1" applyFont="1" applyFill="1" applyBorder="1" applyAlignment="1">
      <x:alignment horizontal="center" vertical="center"/>
    </x:xf>
    <x:xf numFmtId="0" fontId="19" fillId="13" borderId="0" xfId="0" applyNumberFormat="1" applyFont="1" applyFill="1" applyBorder="1" applyAlignment="1">
      <x:alignment horizontal="center" vertical="center" wrapText="1"/>
    </x:xf>
    <x:xf numFmtId="0" fontId="19" fillId="9" borderId="0" xfId="0" applyNumberFormat="1" applyFont="1" applyFill="1" applyBorder="1" applyAlignment="1">
      <x:alignment horizontal="center" vertical="center" wrapText="1"/>
    </x:xf>
    <x:xf numFmtId="0" fontId="26" fillId="22" borderId="0" xfId="0" applyNumberFormat="1" applyFont="1" applyFill="1" applyBorder="1" applyAlignment="1">
      <x:alignment horizontal="center" vertical="center"/>
    </x:xf>
  </x:cellXfs>
  <x:cellStyles count="1">
    <x:cellStyle name="Normal" xfId="0"/>
  </x:cellStyles>
  <x:dxfs count="78">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b/>
        <x:color rgb="FF856031"/>
      </x:font>
      <x:fill>
        <x:patternFill>
          <x:bgColor rgb="FFF1E1C4"/>
        </x:patternFill>
      </x:fill>
    </x:dxf>
    <x:dxf>
      <x:font>
        <x:b/>
        <x:color rgb="FF7B4D45"/>
      </x:font>
      <x:fill>
        <x:patternFill>
          <x:bgColor rgb="FFECD2CD"/>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b/>
        <x:color rgb="FF856031"/>
      </x:font>
      <x:fill>
        <x:patternFill>
          <x:bgColor rgb="FFF1E1C4"/>
        </x:patternFill>
      </x:fill>
    </x:dxf>
    <x:dxf>
      <x:font>
        <x:b/>
        <x:color rgb="FF7B4D45"/>
      </x:font>
      <x:fill>
        <x:patternFill>
          <x:bgColor rgb="FFECD2CD"/>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b/>
        <x:color rgb="FF4F6B52"/>
      </x:font>
      <x:fill>
        <x:patternFill>
          <x:bgColor rgb="FFDDE8DF"/>
        </x:patternFill>
      </x:fill>
    </x:dxf>
    <x:dxf>
      <x:font>
        <x:b/>
        <x:color rgb="FF7B4D45"/>
      </x:font>
      <x:fill>
        <x:patternFill>
          <x:bgColor rgb="FFECD2CD"/>
        </x:patternFill>
      </x:fill>
    </x:dxf>
    <x:dxf>
      <x:font>
        <x:color rgb="FFF47C20"/>
      </x:font>
      <x:fill>
        <x:patternFill>
          <x:bgColor rgb="FFF47C20"/>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color rgb="FF59636D"/>
      </x:font>
      <x:fill>
        <x:patternFill>
          <x:bgColor rgb="FFE9EDF0"/>
        </x:patternFill>
      </x:fill>
    </x:dxf>
    <x:dxf>
      <x:font>
        <x:color rgb="FF7B4038"/>
      </x:font>
      <x:fill>
        <x:patternFill>
          <x:bgColor rgb="FFF0D6D1"/>
        </x:patternFill>
      </x:fill>
    </x:dxf>
    <x:dxf>
      <x:font>
        <x:color rgb="FF7B571B"/>
      </x:font>
      <x:fill>
        <x:patternFill>
          <x:bgColor rgb="FFF5E4BF"/>
        </x:patternFill>
      </x:fill>
    </x:dxf>
    <x:dxf>
      <x:font>
        <x:color rgb="FF3F6248"/>
      </x:font>
      <x:fill>
        <x:patternFill>
          <x:bgColor rgb="FFDDE8DF"/>
        </x:patternFill>
      </x:fill>
    </x:dxf>
    <x:dxf>
      <x:font>
        <x:b/>
        <x:color rgb="FF856031"/>
      </x:font>
      <x:fill>
        <x:patternFill>
          <x:bgColor rgb="FFF1E1C4"/>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856031"/>
      </x:font>
      <x:fill>
        <x:patternFill>
          <x:bgColor rgb="FFF1E1C4"/>
        </x:patternFill>
      </x:fill>
    </x:dxf>
    <x:dxf>
      <x:font>
        <x:b/>
        <x:color rgb="FF856031"/>
      </x:font>
      <x:fill>
        <x:patternFill>
          <x:bgColor rgb="FFF1E1C4"/>
        </x:patternFill>
      </x:fill>
    </x:dxf>
    <x:dxf>
      <x:font>
        <x:b/>
        <x:color rgb="FF856031"/>
      </x:font>
      <x:fill>
        <x:patternFill>
          <x:bgColor rgb="FFF1E1C4"/>
        </x:patternFill>
      </x:fill>
    </x:dxf>
    <x:dxf>
      <x:font>
        <x:b/>
        <x:color rgb="FF7B4D45"/>
      </x:font>
      <x:fill>
        <x:patternFill>
          <x:bgColor rgb="FFECD2CD"/>
        </x:patternFill>
      </x:fill>
    </x:dxf>
    <x:dxf>
      <x:font>
        <x:b/>
        <x:color rgb="FF7B4D45"/>
      </x:font>
      <x:fill>
        <x:patternFill>
          <x:bgColor rgb="FFECD2CD"/>
        </x:patternFill>
      </x:fill>
    </x:dxf>
    <x:dxf>
      <x:font>
        <x:b/>
        <x:color rgb="FF6A625B"/>
      </x:font>
      <x:fill>
        <x:patternFill>
          <x:bgColor rgb="FFECE7E1"/>
        </x:patternFill>
      </x:fill>
    </x:dxf>
    <x:dxf>
      <x:font>
        <x:b/>
        <x:color rgb="FF6A625B"/>
      </x:font>
      <x:fill>
        <x:patternFill>
          <x:bgColor rgb="FFECE7E1"/>
        </x:patternFill>
      </x:fill>
    </x:dxf>
    <x:dxf>
      <x:font>
        <x:b/>
        <x:color rgb="FF4F6B52"/>
      </x:font>
      <x:fill>
        <x:patternFill>
          <x:bgColor rgb="FFDDE8DF"/>
        </x:patternFill>
      </x:fill>
    </x:dxf>
    <x:dxf>
      <x:font>
        <x:b/>
        <x:color rgb="FF6A625B"/>
      </x:font>
      <x:fill>
        <x:patternFill>
          <x:bgColor rgb="FFECE7E1"/>
        </x:patternFill>
      </x:fill>
    </x:dxf>
    <x:dxf>
      <x:font>
        <x:b/>
        <x:color rgb="FF6A625B"/>
      </x:font>
      <x:fill>
        <x:patternFill>
          <x:bgColor rgb="FFECE7E1"/>
        </x:patternFill>
      </x:fill>
    </x:dxf>
    <x:dxf>
      <x:font>
        <x:b/>
        <x:color rgb="FF7B4D45"/>
      </x:font>
      <x:fill>
        <x:patternFill>
          <x:bgColor rgb="FFECD2CD"/>
        </x:patternFill>
      </x:fill>
    </x:dxf>
    <x:dxf>
      <x:font>
        <x:b/>
        <x:color rgb="FF856031"/>
      </x:font>
      <x:fill>
        <x:patternFill>
          <x:bgColor rgb="FFF1E1C4"/>
        </x:patternFill>
      </x:fill>
    </x:dxf>
    <x:dxf>
      <x:font>
        <x:b/>
        <x:color rgb="FF856031"/>
      </x:font>
      <x:fill>
        <x:patternFill>
          <x:bgColor rgb="FFF1E1C4"/>
        </x:patternFill>
      </x:fill>
    </x:dxf>
    <x:dxf>
      <x:font>
        <x:b/>
        <x:color rgb="FF856031"/>
      </x:font>
      <x:fill>
        <x:patternFill>
          <x:bgColor rgb="FFF1E1C4"/>
        </x:patternFill>
      </x:fill>
    </x:dxf>
    <x:dxf>
      <x:font>
        <x:b/>
        <x:color rgb="FF856031"/>
      </x:font>
      <x:fill>
        <x:patternFill>
          <x:bgColor rgb="FFF1E1C4"/>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7B4D45"/>
      </x:font>
      <x:fill>
        <x:patternFill>
          <x:bgColor rgb="FFECD2CD"/>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4F6B52"/>
      </x:font>
      <x:fill>
        <x:patternFill>
          <x:bgColor rgb="FFDDE8DF"/>
        </x:patternFill>
      </x:fill>
    </x:dxf>
    <x:dxf>
      <x:font>
        <x:b/>
        <x:color rgb="FF856031"/>
      </x:font>
      <x:fill>
        <x:patternFill>
          <x:bgColor rgb="FFF1E1C4"/>
        </x:patternFill>
      </x:fill>
    </x:dxf>
    <x:dxf>
      <x:font>
        <x:b/>
        <x:color rgb="FF856031"/>
      </x:font>
      <x:fill>
        <x:patternFill>
          <x:bgColor rgb="FFF1E1C4"/>
        </x:patternFill>
      </x:fill>
    </x:dxf>
    <x:dxf>
      <x:font>
        <x:b/>
        <x:color rgb="FF856031"/>
      </x:font>
      <x:fill>
        <x:patternFill>
          <x:bgColor rgb="FFF1E1C4"/>
        </x:patternFill>
      </x:fill>
    </x:dxf>
    <x:dxf>
      <x:font>
        <x:b/>
        <x:color rgb="FF856031"/>
      </x:font>
      <x:fill>
        <x:patternFill>
          <x:bgColor rgb="FFF1E1C4"/>
        </x:patternFill>
      </x:fill>
    </x:dxf>
    <x:dxf>
      <x:font>
        <x:b/>
        <x:color rgb="FF7B4D45"/>
      </x:font>
      <x:fill>
        <x:patternFill>
          <x:bgColor rgb="FFECD2CD"/>
        </x:patternFill>
      </x:fill>
    </x:dxf>
    <x:dxf>
      <x:font>
        <x:b/>
        <x:color rgb="FF7B4D45"/>
      </x:font>
      <x:fill>
        <x:patternFill>
          <x:bgColor rgb="FFECD2CD"/>
        </x:patternFill>
      </x:fill>
    </x:dxf>
    <x:dxf>
      <x:font>
        <x:b/>
        <x:color rgb="FF6A625B"/>
      </x:font>
      <x:fill>
        <x:patternFill>
          <x:bgColor rgb="FFECE7E1"/>
        </x:patternFill>
      </x:fill>
    </x:dxf>
    <x:dxf>
      <x:font>
        <x:b/>
        <x:color rgb="FF6A625B"/>
      </x:font>
      <x:fill>
        <x:patternFill>
          <x:bgColor rgb="FFECE7E1"/>
        </x:patternFill>
      </x:fill>
    </x:dxf>
    <x:dxf>
      <x:font>
        <x:b/>
        <x:color rgb="FF4F6B52"/>
      </x:font>
      <x:fill>
        <x:patternFill>
          <x:bgColor rgb="FFDDE8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2b24e94186449b" /><Relationship Type="http://schemas.openxmlformats.org/officeDocument/2006/relationships/theme" Target="/xl/theme/theme1.xml" Id="Re6dc17c568714679" /><Relationship Type="http://schemas.openxmlformats.org/officeDocument/2006/relationships/sharedStrings" Target="/xl/sharedStrings.xml" Id="R3c93698dc3a34cdb" /><Relationship Type="http://schemas.openxmlformats.org/officeDocument/2006/relationships/worksheet" Target="/xl/worksheets/sheet1.xml" Id="R3337146ce1604966" /><Relationship Type="http://schemas.openxmlformats.org/officeDocument/2006/relationships/worksheet" Target="/xl/worksheets/sheet2.xml" Id="Rcaf9626ac2df4a57" /><Relationship Type="http://schemas.openxmlformats.org/officeDocument/2006/relationships/worksheet" Target="/xl/worksheets/sheet3.xml" Id="R1f321fca7e5d4171" /><Relationship Type="http://schemas.openxmlformats.org/officeDocument/2006/relationships/worksheet" Target="/xl/worksheets/sheet4.xml" Id="Rbe37655d808e4c5d" /><Relationship Type="http://schemas.openxmlformats.org/officeDocument/2006/relationships/worksheet" Target="/xl/worksheets/sheet5.xml" Id="R0b08d473907f4e32" /><Relationship Type="http://schemas.openxmlformats.org/officeDocument/2006/relationships/worksheet" Target="/xl/worksheets/sheet6.xml" Id="R1ff3830ca76b4b78" /><Relationship Type="http://schemas.openxmlformats.org/officeDocument/2006/relationships/worksheet" Target="/xl/worksheets/sheet7.xml" Id="Raa560767832346e1" /><Relationship Type="http://schemas.openxmlformats.org/officeDocument/2006/relationships/worksheet" Target="/xl/worksheets/sheet8.xml" Id="Ra93951377e4144c3" /><Relationship Type="http://schemas.openxmlformats.org/officeDocument/2006/relationships/worksheet" Target="/xl/worksheets/sheet9.xml" Id="R174ac2690bf744dd" /><Relationship Type="http://schemas.openxmlformats.org/officeDocument/2006/relationships/worksheet" Target="/xl/worksheets/sheet10.xml" Id="Rf25e032e24c04506" /><Relationship Type="http://schemas.openxmlformats.org/officeDocument/2006/relationships/worksheet" Target="/xl/worksheets/sheet11.xml" Id="R39969ce8b7534174" /></Relationships>
</file>

<file path=xl/drawings/_rels/drawing1.xml.rels>&#65279;<?xml version="1.0" encoding="utf-8"?><Relationships xmlns="http://schemas.openxmlformats.org/package/2006/relationships"><Relationship Type="http://schemas.openxmlformats.org/officeDocument/2006/relationships/chart" Target="/xl/drawings/charts/chart1.xml" Id="Rbe3f21732eaf4b40"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Baseline vs Actual / Forecast</a:t>
            </a:r>
          </a:p>
        </c:rich>
      </c:tx>
    </c:title>
    <c:autoTitleDeleted val="0"/>
    <c:plotArea>
      <c:barChart>
        <c:barDir val="col"/>
        <c:grouping val="clustered"/>
        <c:varyColors val="0"/>
        <c:ser>
          <c:idx val="0"/>
          <c:order val="0"/>
          <c:tx>
            <c:v>Baseline Budget</c:v>
          </c:tx>
          <c:spPr>
            <a:solidFill xmlns:a="http://schemas.openxmlformats.org/drawingml/2006/main">
              <a:srgbClr val="B8946D"/>
            </a:solidFill>
            <a:ln xmlns:a="http://schemas.openxmlformats.org/drawingml/2006/main" w="7144">
              <a:solidFill>
                <a:srgbClr val="3B3430"/>
              </a:solidFill>
              <a:prstDash val="solid"/>
            </a:ln>
          </c:spPr>
          <c:cat>
            <c:strRef>
              <c:f>'Budget &amp; Forecast'!$A$11:$A$16</c:f>
              <c:strCache>
                <c:ptCount val="6"/>
                <c:pt idx="0">
                  <c:v>Labor and shop support</c:v>
                </c:pt>
                <c:pt idx="1">
                  <c:v>Parts and repairable components</c:v>
                </c:pt>
                <c:pt idx="2">
                  <c:v>Materials and supplies</c:v>
                </c:pt>
                <c:pt idx="3">
                  <c:v>Outside support and vendor help</c:v>
                </c:pt>
                <c:pt idx="4">
                  <c:v>Testing and quality</c:v>
                </c:pt>
                <c:pt idx="5">
                  <c:v>Contingency</c:v>
                </c:pt>
              </c:strCache>
            </c:strRef>
          </c:cat>
          <c:val>
            <c:numRef>
              <c:f>'Budget &amp; Forecast'!$B$11:$B$16</c:f>
              <c:numCache>
                <c:formatCode>\$#,##0</c:formatCode>
                <c:ptCount val="6"/>
                <c:pt idx="0">
                  <c:v>155000</c:v>
                </c:pt>
                <c:pt idx="1">
                  <c:v>230000</c:v>
                </c:pt>
                <c:pt idx="2">
                  <c:v>48000</c:v>
                </c:pt>
                <c:pt idx="3">
                  <c:v>72000</c:v>
                </c:pt>
                <c:pt idx="4">
                  <c:v>35000</c:v>
                </c:pt>
                <c:pt idx="5">
                  <c:v>60000</c:v>
                </c:pt>
              </c:numCache>
            </c:numRef>
          </c:val>
        </c:ser>
        <c:ser>
          <c:idx val="1"/>
          <c:order val="1"/>
          <c:tx>
            <c:v>Actual / Committed</c:v>
          </c:tx>
          <c:spPr>
            <a:solidFill xmlns:a="http://schemas.openxmlformats.org/drawingml/2006/main">
              <a:srgbClr val="D8C2A8"/>
            </a:solidFill>
            <a:ln xmlns:a="http://schemas.openxmlformats.org/drawingml/2006/main" w="7144">
              <a:solidFill>
                <a:srgbClr val="3B3430"/>
              </a:solidFill>
              <a:prstDash val="solid"/>
            </a:ln>
          </c:spPr>
          <c:cat>
            <c:strRef>
              <c:f>'Budget &amp; Forecast'!$A$11:$A$16</c:f>
              <c:strCache>
                <c:ptCount val="6"/>
                <c:pt idx="0">
                  <c:v>Labor and shop support</c:v>
                </c:pt>
                <c:pt idx="1">
                  <c:v>Parts and repairable components</c:v>
                </c:pt>
                <c:pt idx="2">
                  <c:v>Materials and supplies</c:v>
                </c:pt>
                <c:pt idx="3">
                  <c:v>Outside support and vendor help</c:v>
                </c:pt>
                <c:pt idx="4">
                  <c:v>Testing and quality</c:v>
                </c:pt>
                <c:pt idx="5">
                  <c:v>Contingency</c:v>
                </c:pt>
              </c:strCache>
            </c:strRef>
          </c:cat>
          <c:val>
            <c:numRef>
              <c:f>'Budget &amp; Forecast'!$C$11:$C$16</c:f>
              <c:numCache>
                <c:formatCode>\$#,##0</c:formatCode>
                <c:ptCount val="6"/>
                <c:pt idx="0">
                  <c:v>78500</c:v>
                </c:pt>
                <c:pt idx="1">
                  <c:v>102000</c:v>
                </c:pt>
                <c:pt idx="2">
                  <c:v>23400</c:v>
                </c:pt>
                <c:pt idx="3">
                  <c:v>24000</c:v>
                </c:pt>
                <c:pt idx="4">
                  <c:v>10000</c:v>
                </c:pt>
                <c:pt idx="5">
                  <c:v>14100</c:v>
                </c:pt>
              </c:numCache>
            </c:numRef>
          </c:val>
        </c:ser>
        <c:ser>
          <c:idx val="2"/>
          <c:order val="2"/>
          <c:tx>
            <c:v>Forecast at Completion</c:v>
          </c:tx>
          <c:spPr>
            <a:solidFill xmlns:a="http://schemas.openxmlformats.org/drawingml/2006/main">
              <a:srgbClr val="5A4D45"/>
            </a:solidFill>
            <a:ln xmlns:a="http://schemas.openxmlformats.org/drawingml/2006/main" w="7144">
              <a:solidFill>
                <a:srgbClr val="3B3430"/>
              </a:solidFill>
              <a:prstDash val="solid"/>
            </a:ln>
          </c:spPr>
          <c:cat>
            <c:strRef>
              <c:f>'Budget &amp; Forecast'!$A$11:$A$16</c:f>
              <c:strCache>
                <c:ptCount val="6"/>
                <c:pt idx="0">
                  <c:v>Labor and shop support</c:v>
                </c:pt>
                <c:pt idx="1">
                  <c:v>Parts and repairable components</c:v>
                </c:pt>
                <c:pt idx="2">
                  <c:v>Materials and supplies</c:v>
                </c:pt>
                <c:pt idx="3">
                  <c:v>Outside support and vendor help</c:v>
                </c:pt>
                <c:pt idx="4">
                  <c:v>Testing and quality</c:v>
                </c:pt>
                <c:pt idx="5">
                  <c:v>Contingency</c:v>
                </c:pt>
              </c:strCache>
            </c:strRef>
          </c:cat>
          <c:val>
            <c:numRef>
              <c:f>'Budget &amp; Forecast'!$D$11:$D$16</c:f>
              <c:numCache>
                <c:formatCode>\$#,##0</c:formatCode>
                <c:ptCount val="6"/>
                <c:pt idx="0">
                  <c:v>150000</c:v>
                </c:pt>
                <c:pt idx="1">
                  <c:v>228000</c:v>
                </c:pt>
                <c:pt idx="2">
                  <c:v>46500</c:v>
                </c:pt>
                <c:pt idx="3">
                  <c:v>71000</c:v>
                </c:pt>
                <c:pt idx="4">
                  <c:v>33500</c:v>
                </c:pt>
                <c:pt idx="5">
                  <c:v>56000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9</xdr:row>
      <xdr:rowOff>0</xdr:rowOff>
    </xdr:from>
    <xdr:to>
      <xdr:col>10</xdr:col>
      <xdr:colOff>0</xdr:colOff>
      <xdr:row>18</xdr:row>
      <xdr:rowOff>114300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3f21732eaf4b4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35028f8cb35b4c0f"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2" width="16" customWidth="1"/>
    <x:col min="3" max="3" width="15.5" customWidth="1"/>
    <x:col min="4" max="4" width="17.83203125" customWidth="1"/>
    <x:col min="5" max="5" width="17.1640625" customWidth="1"/>
    <x:col min="6" max="6" width="12.5" customWidth="1"/>
    <x:col min="7" max="7" width="17.83203125" customWidth="1"/>
    <x:col min="8" max="8" width="14.5" customWidth="1"/>
    <x:col min="9" max="9" width="14.1640625" customWidth="1"/>
    <x:col min="10" max="10" width="17" customWidth="1"/>
    <x:col min="11" max="11" width="10.1640625" customWidth="1"/>
    <x:col min="12" max="12" width="28.83203125" customWidth="1"/>
  </x:cols>
  <x:sheetData>
    <x:row r="1" ht="36" customHeight="1">
      <x:c r="A1" s="58" t="s">
        <x:v>0</x:v>
      </x:c>
      <x:c r="B1" s="58"/>
      <x:c r="C1" s="58"/>
      <x:c r="D1" s="58"/>
      <x:c r="E1" s="58"/>
      <x:c r="F1" s="58"/>
      <x:c r="G1" s="58"/>
      <x:c r="H1" s="58"/>
      <x:c r="I1" s="58"/>
      <x:c r="J1" s="58"/>
      <x:c r="K1" s="58"/>
      <x:c r="L1" s="58"/>
    </x:row>
    <x:row r="2" ht="42" customHeight="1">
      <x:c r="A2" s="95" t="str">
        <x:v>Illustrative Flowshua portfolio example.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59"/>
      <x:c r="K2" s="59"/>
      <x:c r="L2" s="59"/>
    </x:row>
    <x:row r="3" ht="7" customHeight="1">
      <x:c r="A3" s="60"/>
      <x:c r="B3" s="60"/>
      <x:c r="C3" s="60"/>
      <x:c r="D3" s="60"/>
      <x:c r="E3" s="60"/>
      <x:c r="F3" s="60"/>
      <x:c r="G3" s="60"/>
      <x:c r="H3" s="60"/>
      <x:c r="I3" s="60"/>
      <x:c r="J3" s="60"/>
      <x:c r="K3" s="60"/>
      <x:c r="L3" s="60"/>
    </x:row>
    <x:row r="4" ht="15">
      <x:c r="A4" s="2"/>
      <x:c r="B4" s="2"/>
      <x:c r="C4" s="2"/>
      <x:c r="D4" s="2"/>
      <x:c r="E4" s="2"/>
      <x:c r="F4" s="2"/>
      <x:c r="G4" s="2"/>
      <x:c r="H4" s="2"/>
      <x:c r="I4" s="2"/>
      <x:c r="J4" s="2"/>
      <x:c r="K4" s="2"/>
      <x:c r="L4" s="2"/>
    </x:row>
    <x:row r="5">
      <x:c r="A5" s="55" t="s">
        <x:v>1</x:v>
      </x:c>
      <x:c r="B5" s="55"/>
      <x:c r="C5" s="55" t="s">
        <x:v>2</x:v>
      </x:c>
      <x:c r="D5" s="55"/>
      <x:c r="E5" s="55" t="s">
        <x:v>3</x:v>
      </x:c>
      <x:c r="F5" s="55"/>
      <x:c r="G5" s="55" t="s">
        <x:v>4</x:v>
      </x:c>
      <x:c r="H5" s="55"/>
      <x:c r="I5" s="55" t="s">
        <x:v>5</x:v>
      </x:c>
      <x:c r="J5" s="55"/>
      <x:c r="K5" s="55" t="str">
        <x:v>Project-Control Gates Complete</x:v>
      </x:c>
      <x:c r="L5" s="55"/>
    </x:row>
    <x:row r="6" ht="16">
      <x:c r="A6" s="62" t="n">
        <x:f>SUM('Work Packages'!$K$6:$K$20)/SUM('Work Packages'!$H$6:$H$20)</x:f>
        <x:v>0.421</x:v>
      </x:c>
      <x:c r="B6" s="62"/>
      <x:c r="C6" s="56" t="str">
        <x:f>IF(COUNTIF('Master Schedule'!$G$6:$G$20,"At Risk")&gt;0,"At Risk","On Track")</x:f>
        <x:v>At Risk</x:v>
      </x:c>
      <x:c r="D6" s="56"/>
      <x:c r="E6" s="62" t="n">
        <x:f>SUM('Budget &amp; Forecast'!$C$11:$C$16)/SUM('Budget &amp; Forecast'!$B$11:$B$16)</x:f>
        <x:v>0.42</x:v>
      </x:c>
      <x:c r="F6" s="62"/>
      <x:c r="G6" s="56" t="n">
        <x:f>COUNTIF(RAIDD!$H$6:$H$15,"Open")+COUNTIF(RAIDD!$H$6:$H$15,"At Risk")</x:f>
        <x:v>8</x:v>
      </x:c>
      <x:c r="H6" s="56"/>
      <x:c r="I6" s="56" t="str">
        <x:f>"Week "&amp;MAX('Master Schedule'!$E$6:$E$20)</x:f>
        <x:v>Week 12</x:v>
      </x:c>
      <x:c r="J6" s="56"/>
      <x:c r="K6" s="56" t="str">
        <x:f>COUNTIF('Quality Gates'!$G$6:$G$12,"Complete")&amp;" of "&amp;COUNTA('Quality Gates'!$A$6:$A$12)</x:f>
        <x:v>1 of 7</x:v>
      </x:c>
      <x:c r="L6" s="56"/>
    </x:row>
    <x:row r="7">
      <x:c r="A7" s="57" t="s">
        <x:v>6</x:v>
      </x:c>
      <x:c r="B7" s="57"/>
      <x:c r="C7" s="57" t="s">
        <x:v>7</x:v>
      </x:c>
      <x:c r="D7" s="57"/>
      <x:c r="E7" s="57" t="s">
        <x:v>8</x:v>
      </x:c>
      <x:c r="F7" s="57"/>
      <x:c r="G7" s="57" t="s">
        <x:v>9</x:v>
      </x:c>
      <x:c r="H7" s="57"/>
      <x:c r="I7" s="57" t="str">
        <x:v>Planned sample closeout window from the schedule</x:v>
      </x:c>
      <x:c r="J7" s="57"/>
      <x:c r="K7" s="57" t="str">
        <x:v>Project-control gates completed before sample closeout</x:v>
      </x:c>
      <x:c r="L7" s="57"/>
    </x:row>
    <x:row r="8" ht="15">
      <x:c r="A8" s="2"/>
      <x:c r="B8" s="2"/>
      <x:c r="C8" s="2"/>
      <x:c r="D8" s="2"/>
      <x:c r="E8" s="2"/>
      <x:c r="F8" s="2"/>
      <x:c r="G8" s="2"/>
      <x:c r="H8" s="2"/>
      <x:c r="I8" s="2"/>
      <x:c r="J8" s="2"/>
      <x:c r="K8" s="2"/>
      <x:c r="L8" s="2"/>
    </x:row>
    <x:row r="9" ht="15">
      <x:c r="A9" s="2"/>
      <x:c r="B9" s="2"/>
      <x:c r="C9" s="2"/>
      <x:c r="D9" s="2"/>
      <x:c r="E9" s="2"/>
      <x:c r="F9" s="2"/>
      <x:c r="G9" s="2"/>
      <x:c r="H9" s="2"/>
      <x:c r="I9" s="2"/>
      <x:c r="J9" s="2"/>
      <x:c r="K9" s="2"/>
      <x:c r="L9" s="2"/>
    </x:row>
    <x:row r="10" ht="16">
      <x:c r="A10" s="52" t="s">
        <x:v>10</x:v>
      </x:c>
      <x:c r="B10" s="52"/>
      <x:c r="C10" s="52"/>
      <x:c r="D10" s="52"/>
      <x:c r="E10" s="52"/>
      <x:c r="F10" s="52"/>
      <x:c r="G10" s="52" t="s">
        <x:v>11</x:v>
      </x:c>
      <x:c r="H10" s="52"/>
      <x:c r="I10" s="52"/>
      <x:c r="J10" s="52"/>
      <x:c r="K10" s="52"/>
      <x:c r="L10" s="52"/>
    </x:row>
    <x:row r="11">
      <x:c r="A11" s="53" t="s">
        <x:v>12</x:v>
      </x:c>
      <x:c r="B11" s="53"/>
      <x:c r="C11" s="53"/>
      <x:c r="D11" s="53"/>
      <x:c r="E11" s="53"/>
      <x:c r="F11" s="53"/>
      <x:c r="G11" s="54" t="s">
        <x:v>13</x:v>
      </x:c>
      <x:c r="H11" s="54"/>
      <x:c r="I11" s="54"/>
      <x:c r="J11" s="54"/>
      <x:c r="K11" s="54"/>
      <x:c r="L11" s="54"/>
    </x:row>
    <x:row r="12">
      <x:c r="A12" s="53"/>
      <x:c r="B12" s="53"/>
      <x:c r="C12" s="53"/>
      <x:c r="D12" s="53"/>
      <x:c r="E12" s="53"/>
      <x:c r="F12" s="53"/>
      <x:c r="G12" s="54"/>
      <x:c r="H12" s="54"/>
      <x:c r="I12" s="54"/>
      <x:c r="J12" s="54"/>
      <x:c r="K12" s="54"/>
      <x:c r="L12" s="54"/>
    </x:row>
    <x:row r="13">
      <x:c r="A13" s="53"/>
      <x:c r="B13" s="53"/>
      <x:c r="C13" s="53"/>
      <x:c r="D13" s="53"/>
      <x:c r="E13" s="53"/>
      <x:c r="F13" s="53"/>
      <x:c r="G13" s="54"/>
      <x:c r="H13" s="54"/>
      <x:c r="I13" s="54"/>
      <x:c r="J13" s="54"/>
      <x:c r="K13" s="54"/>
      <x:c r="L13" s="54"/>
    </x:row>
    <x:row r="14">
      <x:c r="A14" s="53"/>
      <x:c r="B14" s="53"/>
      <x:c r="C14" s="53"/>
      <x:c r="D14" s="53"/>
      <x:c r="E14" s="53"/>
      <x:c r="F14" s="53"/>
      <x:c r="G14" s="54"/>
      <x:c r="H14" s="54"/>
      <x:c r="I14" s="54"/>
      <x:c r="J14" s="54"/>
      <x:c r="K14" s="54"/>
      <x:c r="L14" s="54"/>
    </x:row>
    <x:row r="15">
      <x:c r="A15" s="53"/>
      <x:c r="B15" s="53"/>
      <x:c r="C15" s="53"/>
      <x:c r="D15" s="53"/>
      <x:c r="E15" s="53"/>
      <x:c r="F15" s="53"/>
      <x:c r="G15" s="54"/>
      <x:c r="H15" s="54"/>
      <x:c r="I15" s="54"/>
      <x:c r="J15" s="54"/>
      <x:c r="K15" s="54"/>
      <x:c r="L15" s="54"/>
    </x:row>
    <x:row r="16">
      <x:c r="A16" s="9"/>
      <x:c r="B16" s="9"/>
      <x:c r="C16" s="9"/>
      <x:c r="D16" s="9"/>
      <x:c r="E16" s="9"/>
      <x:c r="F16" s="9"/>
      <x:c r="G16" s="9"/>
      <x:c r="H16" s="9"/>
      <x:c r="I16" s="9"/>
      <x:c r="J16" s="9"/>
      <x:c r="K16" s="9"/>
      <x:c r="L16" s="9"/>
    </x:row>
    <x:row r="17">
      <x:c r="A17" s="51" t="s">
        <x:v>14</x:v>
      </x:c>
      <x:c r="B17" s="51"/>
      <x:c r="C17" s="51"/>
      <x:c r="D17" s="51"/>
      <x:c r="E17" s="51"/>
      <x:c r="F17" s="51"/>
      <x:c r="G17" s="51" t="s">
        <x:v>15</x:v>
      </x:c>
      <x:c r="H17" s="51"/>
      <x:c r="I17" s="51"/>
      <x:c r="J17" s="51"/>
      <x:c r="K17" s="51"/>
      <x:c r="L17" s="51"/>
    </x:row>
    <x:row r="18" ht="34" customHeight="1">
      <x:c r="A18" s="29" t="s">
        <x:v>16</x:v>
      </x:c>
      <x:c r="B18" s="29" t="s">
        <x:v>17</x:v>
      </x:c>
      <x:c r="C18" s="29" t="s">
        <x:v>18</x:v>
      </x:c>
      <x:c r="D18" s="29" t="s">
        <x:v>19</x:v>
      </x:c>
      <x:c r="E18" s="29" t="s">
        <x:v>20</x:v>
      </x:c>
      <x:c r="F18" s="29" t="s">
        <x:v>21</x:v>
      </x:c>
      <x:c r="G18" s="29" t="s">
        <x:v>22</x:v>
      </x:c>
      <x:c r="H18" s="29" t="s">
        <x:v>23</x:v>
      </x:c>
      <x:c r="I18" s="29" t="s">
        <x:v>24</x:v>
      </x:c>
      <x:c r="J18" s="29" t="s">
        <x:v>25</x:v>
      </x:c>
      <x:c r="K18" s="29" t="s">
        <x:v>21</x:v>
      </x:c>
      <x:c r="L18" s="29" t="s">
        <x:v>26</x:v>
      </x:c>
    </x:row>
    <x:row r="19" ht="60">
      <x:c r="A19" s="6" t="s">
        <x:v>27</x:v>
      </x:c>
      <x:c r="B19" s="6" t="s">
        <x:v>28</x:v>
      </x:c>
      <x:c r="C19" s="6" t="s">
        <x:v>29</x:v>
      </x:c>
      <x:c r="D19" s="6" t="s">
        <x:v>30</x:v>
      </x:c>
      <x:c r="E19" s="6" t="s">
        <x:v>31</x:v>
      </x:c>
      <x:c r="F19" s="6" t="s">
        <x:v>32</x:v>
      </x:c>
      <x:c r="G19" s="6" t="s">
        <x:v>33</x:v>
      </x:c>
      <x:c r="H19" s="6" t="s">
        <x:v>34</x:v>
      </x:c>
      <x:c r="I19" s="6" t="s">
        <x:v>34</x:v>
      </x:c>
      <x:c r="J19" s="6" t="s">
        <x:v>35</x:v>
      </x:c>
      <x:c r="K19" s="6" t="s">
        <x:v>32</x:v>
      </x:c>
      <x:c r="L19" s="6" t="s">
        <x:v>36</x:v>
      </x:c>
    </x:row>
    <x:row r="20" ht="45">
      <x:c r="A20" s="6" t="s">
        <x:v>37</x:v>
      </x:c>
      <x:c r="B20" s="6" t="s">
        <x:v>38</x:v>
      </x:c>
      <x:c r="C20" s="6" t="s">
        <x:v>39</x:v>
      </x:c>
      <x:c r="D20" s="6" t="str">
        <x:v>Could affect integration and sample closeout</x:v>
      </x:c>
      <x:c r="E20" s="6" t="s">
        <x:v>40</x:v>
      </x:c>
      <x:c r="F20" s="6" t="s">
        <x:v>41</x:v>
      </x:c>
      <x:c r="G20" s="6" t="s">
        <x:v>42</x:v>
      </x:c>
      <x:c r="H20" s="6" t="s">
        <x:v>43</x:v>
      </x:c>
      <x:c r="I20" s="6" t="s">
        <x:v>43</x:v>
      </x:c>
      <x:c r="J20" s="6" t="s">
        <x:v>44</x:v>
      </x:c>
      <x:c r="K20" s="6" t="s">
        <x:v>41</x:v>
      </x:c>
      <x:c r="L20" s="6" t="s">
        <x:v>45</x:v>
      </x:c>
    </x:row>
    <x:row r="21" ht="60">
      <x:c r="A21" s="6" t="s">
        <x:v>46</x:v>
      </x:c>
      <x:c r="B21" s="6" t="s">
        <x:v>47</x:v>
      </x:c>
      <x:c r="C21" s="6" t="s">
        <x:v>48</x:v>
      </x:c>
      <x:c r="D21" s="6" t="s">
        <x:v>49</x:v>
      </x:c>
      <x:c r="E21" s="6" t="s">
        <x:v>50</x:v>
      </x:c>
      <x:c r="F21" s="6" t="s">
        <x:v>51</x:v>
      </x:c>
      <x:c r="G21" s="6" t="s">
        <x:v>52</x:v>
      </x:c>
      <x:c r="H21" s="6" t="s">
        <x:v>53</x:v>
      </x:c>
      <x:c r="I21" s="6" t="s">
        <x:v>53</x:v>
      </x:c>
      <x:c r="J21" s="6" t="s">
        <x:v>54</x:v>
      </x:c>
      <x:c r="K21" s="6" t="s">
        <x:v>51</x:v>
      </x:c>
      <x:c r="L21" s="6" t="s">
        <x:v>55</x:v>
      </x:c>
    </x:row>
    <x:row r="22" ht="60">
      <x:c r="A22" s="6" t="s">
        <x:v>56</x:v>
      </x:c>
      <x:c r="B22" s="6" t="s">
        <x:v>57</x:v>
      </x:c>
      <x:c r="C22" s="6" t="s">
        <x:v>58</x:v>
      </x:c>
      <x:c r="D22" s="6" t="s">
        <x:v>59</x:v>
      </x:c>
      <x:c r="E22" s="6" t="s">
        <x:v>60</x:v>
      </x:c>
      <x:c r="F22" s="6" t="s">
        <x:v>51</x:v>
      </x:c>
      <x:c r="G22" s="6" t="s">
        <x:v>61</x:v>
      </x:c>
      <x:c r="H22" s="6" t="s">
        <x:v>62</x:v>
      </x:c>
      <x:c r="I22" s="6" t="s">
        <x:v>63</x:v>
      </x:c>
      <x:c r="J22" s="6" t="s">
        <x:v>64</x:v>
      </x:c>
      <x:c r="K22" s="6" t="s">
        <x:v>65</x:v>
      </x:c>
      <x:c r="L22" s="6" t="str">
        <x:v>Stage project evidence before integration is finished</x:v>
      </x:c>
    </x:row>
    <x:row r="23" ht="45">
      <x:c r="A23" s="6" t="s">
        <x:v>66</x:v>
      </x:c>
      <x:c r="B23" s="6" t="s">
        <x:v>67</x:v>
      </x:c>
      <x:c r="C23" s="6" t="s">
        <x:v>29</x:v>
      </x:c>
      <x:c r="D23" s="6" t="s">
        <x:v>68</x:v>
      </x:c>
      <x:c r="E23" s="6" t="s">
        <x:v>69</x:v>
      </x:c>
      <x:c r="F23" s="6" t="s">
        <x:v>70</x:v>
      </x:c>
      <x:c r="G23" s="6" t="str">
        <x:v>Final readiness and closeout</x:v>
      </x:c>
      <x:c r="H23" s="6" t="s">
        <x:v>71</x:v>
      </x:c>
      <x:c r="I23" s="6" t="s">
        <x:v>72</x:v>
      </x:c>
      <x:c r="J23" s="6" t="s">
        <x:v>73</x:v>
      </x:c>
      <x:c r="K23" s="6" t="s">
        <x:v>70</x:v>
      </x:c>
      <x:c r="L23" s="6" t="str">
        <x:v>Keep the final closeout window protected</x:v>
      </x:c>
    </x:row>
    <x:row r="24">
      <x:c r="A24" s="9"/>
      <x:c r="B24" s="9"/>
      <x:c r="C24" s="9"/>
      <x:c r="D24" s="9"/>
      <x:c r="E24" s="9"/>
      <x:c r="F24" s="9"/>
      <x:c r="G24" s="9"/>
      <x:c r="H24" s="9"/>
      <x:c r="I24" s="9"/>
      <x:c r="J24" s="9"/>
      <x:c r="K24" s="9"/>
      <x:c r="L24" s="9"/>
    </x:row>
    <x:row r="25">
      <x:c r="A25" s="9"/>
      <x:c r="B25" s="9"/>
      <x:c r="C25" s="9"/>
      <x:c r="D25" s="9"/>
      <x:c r="E25" s="9"/>
      <x:c r="F25" s="9"/>
      <x:c r="G25" s="9"/>
      <x:c r="H25" s="9"/>
      <x:c r="I25" s="9"/>
      <x:c r="J25" s="9"/>
      <x:c r="K25" s="9"/>
      <x:c r="L25" s="9"/>
    </x:row>
    <x:row r="26">
      <x:c r="A26" s="51" t="s">
        <x:v>74</x:v>
      </x:c>
      <x:c r="B26" s="51"/>
      <x:c r="C26" s="51"/>
      <x:c r="D26" s="51"/>
      <x:c r="E26" s="51" t="s">
        <x:v>75</x:v>
      </x:c>
      <x:c r="F26" s="51"/>
      <x:c r="G26" s="51"/>
      <x:c r="H26" s="51"/>
      <x:c r="I26" s="51"/>
      <x:c r="J26" s="51"/>
      <x:c r="K26" s="51"/>
      <x:c r="L26" s="51"/>
    </x:row>
    <x:row r="27" ht="34" customHeight="1">
      <x:c r="A27" s="29" t="s">
        <x:v>21</x:v>
      </x:c>
      <x:c r="B27" s="29" t="s">
        <x:v>76</x:v>
      </x:c>
      <x:c r="C27" s="9"/>
      <x:c r="D27" s="9"/>
      <x:c r="E27" s="29" t="s">
        <x:v>77</x:v>
      </x:c>
      <x:c r="F27" s="29" t="s">
        <x:v>78</x:v>
      </x:c>
      <x:c r="G27" s="10"/>
      <x:c r="H27" s="10"/>
      <x:c r="I27" s="10"/>
      <x:c r="J27" s="10"/>
      <x:c r="K27" s="10"/>
      <x:c r="L27" s="10"/>
    </x:row>
    <x:row r="28" ht="15">
      <x:c r="A28" s="7" t="s">
        <x:v>32</x:v>
      </x:c>
      <x:c r="B28" s="7" t="n">
        <x:f>COUNTIF('Work Packages'!$I$6:$I$20,"Complete")</x:f>
        <x:v>4</x:v>
      </x:c>
      <x:c r="C28" s="9"/>
      <x:c r="D28" s="9"/>
      <x:c r="E28" s="5" t="s">
        <x:v>79</x:v>
      </x:c>
      <x:c r="F28" s="50" t="s">
        <x:v>80</x:v>
      </x:c>
      <x:c r="G28" s="50"/>
      <x:c r="H28" s="50"/>
      <x:c r="I28" s="50"/>
      <x:c r="J28" s="50"/>
      <x:c r="K28" s="50"/>
      <x:c r="L28" s="50"/>
    </x:row>
    <x:row r="29" ht="15">
      <x:c r="A29" s="7" t="s">
        <x:v>51</x:v>
      </x:c>
      <x:c r="B29" s="7" t="n">
        <x:f>COUNTIF('Work Packages'!$I$6:$I$20,"In Progress")</x:f>
        <x:v>2</x:v>
      </x:c>
      <x:c r="C29" s="9"/>
      <x:c r="D29" s="9"/>
      <x:c r="E29" s="5" t="s">
        <x:v>81</x:v>
      </x:c>
      <x:c r="F29" s="50" t="s">
        <x:v>82</x:v>
      </x:c>
      <x:c r="G29" s="50"/>
      <x:c r="H29" s="50"/>
      <x:c r="I29" s="50"/>
      <x:c r="J29" s="50"/>
      <x:c r="K29" s="50"/>
      <x:c r="L29" s="50"/>
    </x:row>
    <x:row r="30" ht="15">
      <x:c r="A30" s="7" t="s">
        <x:v>41</x:v>
      </x:c>
      <x:c r="B30" s="7" t="n">
        <x:f>COUNTIF('Work Packages'!$I$6:$I$20,"At Risk")</x:f>
        <x:v>2</x:v>
      </x:c>
      <x:c r="C30" s="9"/>
      <x:c r="D30" s="9"/>
      <x:c r="E30" s="5" t="s">
        <x:v>83</x:v>
      </x:c>
      <x:c r="F30" s="50" t="s">
        <x:v>84</x:v>
      </x:c>
      <x:c r="G30" s="50"/>
      <x:c r="H30" s="50"/>
      <x:c r="I30" s="50"/>
      <x:c r="J30" s="50"/>
      <x:c r="K30" s="50"/>
      <x:c r="L30" s="50"/>
    </x:row>
    <x:row r="31" ht="15">
      <x:c r="A31" s="7" t="s">
        <x:v>70</x:v>
      </x:c>
      <x:c r="B31" s="7" t="n">
        <x:f>COUNTIF('Work Packages'!$I$6:$I$20,"Not Started")</x:f>
        <x:v>7</x:v>
      </x:c>
      <x:c r="C31" s="9"/>
      <x:c r="D31" s="9"/>
      <x:c r="E31" s="5" t="s">
        <x:v>85</x:v>
      </x:c>
      <x:c r="F31" s="50" t="s">
        <x:v>86</x:v>
      </x:c>
      <x:c r="G31" s="50"/>
      <x:c r="H31" s="50"/>
      <x:c r="I31" s="50"/>
      <x:c r="J31" s="50"/>
      <x:c r="K31" s="50"/>
      <x:c r="L31" s="50"/>
    </x:row>
    <x:row r="32" ht="30">
      <x:c r="A32" s="9"/>
      <x:c r="B32" s="9"/>
      <x:c r="C32" s="9"/>
      <x:c r="D32" s="9"/>
      <x:c r="E32" s="5" t="s">
        <x:v>87</x:v>
      </x:c>
      <x:c r="F32" s="50" t="s">
        <x:v>88</x:v>
      </x:c>
      <x:c r="G32" s="50"/>
      <x:c r="H32" s="50"/>
      <x:c r="I32" s="50"/>
      <x:c r="J32" s="50"/>
      <x:c r="K32" s="50"/>
      <x:c r="L32" s="50"/>
    </x:row>
    <x:row r="33" ht="15">
      <x:c r="A33" s="51" t="s">
        <x:v>89</x:v>
      </x:c>
      <x:c r="B33" s="51"/>
      <x:c r="C33" s="51"/>
      <x:c r="D33" s="51"/>
      <x:c r="E33" s="5" t="s">
        <x:v>90</x:v>
      </x:c>
      <x:c r="F33" s="50" t="str">
        <x:v>Project-control gates required before sample closeout</x:v>
      </x:c>
      <x:c r="G33" s="50"/>
      <x:c r="H33" s="50"/>
      <x:c r="I33" s="50"/>
      <x:c r="J33" s="50"/>
      <x:c r="K33" s="50"/>
      <x:c r="L33" s="50"/>
    </x:row>
    <x:row r="34" ht="34" customHeight="1">
      <x:c r="A34" s="29" t="s">
        <x:v>91</x:v>
      </x:c>
      <x:c r="B34" s="29" t="s">
        <x:v>92</x:v>
      </x:c>
      <x:c r="C34" s="9"/>
      <x:c r="D34" s="9"/>
      <x:c r="E34" s="5" t="s">
        <x:v>93</x:v>
      </x:c>
      <x:c r="F34" s="50" t="s">
        <x:v>94</x:v>
      </x:c>
      <x:c r="G34" s="50"/>
      <x:c r="H34" s="50"/>
      <x:c r="I34" s="50"/>
      <x:c r="J34" s="50"/>
      <x:c r="K34" s="50"/>
      <x:c r="L34" s="50"/>
    </x:row>
    <x:row r="35" ht="15">
      <x:c r="A35" s="7" t="s">
        <x:v>95</x:v>
      </x:c>
      <x:c r="B35" s="8" t="n">
        <x:f>SUM('Budget &amp; Forecast'!$B$11:$B$16)</x:f>
        <x:v>600000</x:v>
      </x:c>
      <x:c r="C35" s="9"/>
      <x:c r="D35" s="9"/>
      <x:c r="E35" s="5" t="s">
        <x:v>96</x:v>
      </x:c>
      <x:c r="F35" s="50" t="s">
        <x:v>97</x:v>
      </x:c>
      <x:c r="G35" s="50"/>
      <x:c r="H35" s="50"/>
      <x:c r="I35" s="50"/>
      <x:c r="J35" s="50"/>
      <x:c r="K35" s="50"/>
      <x:c r="L35" s="50"/>
    </x:row>
    <x:row r="36" ht="15">
      <x:c r="A36" s="7" t="s">
        <x:v>3</x:v>
      </x:c>
      <x:c r="B36" s="8" t="n">
        <x:f>SUM('Budget &amp; Forecast'!$C$11:$C$16)</x:f>
        <x:v>252000</x:v>
      </x:c>
      <x:c r="C36" s="9"/>
      <x:c r="D36" s="9"/>
      <x:c r="E36" s="5" t="s">
        <x:v>98</x:v>
      </x:c>
      <x:c r="F36" s="50" t="s">
        <x:v>99</x:v>
      </x:c>
      <x:c r="G36" s="50"/>
      <x:c r="H36" s="50"/>
      <x:c r="I36" s="50"/>
      <x:c r="J36" s="50"/>
      <x:c r="K36" s="50"/>
      <x:c r="L36" s="50"/>
    </x:row>
    <x:row r="37" ht="15">
      <x:c r="A37" s="7" t="s">
        <x:v>100</x:v>
      </x:c>
      <x:c r="B37" s="8" t="n">
        <x:f>SUM('Budget &amp; Forecast'!$D$11:$D$16)</x:f>
        <x:v>585000</x:v>
      </x:c>
      <x:c r="C37" s="9"/>
      <x:c r="D37" s="9"/>
      <x:c r="E37" s="11"/>
      <x:c r="F37" s="11"/>
      <x:c r="G37" s="11"/>
      <x:c r="H37" s="11"/>
      <x:c r="I37" s="11"/>
      <x:c r="J37" s="11"/>
      <x:c r="K37" s="11"/>
      <x:c r="L37" s="11"/>
    </x:row>
    <x:row r="38" ht="15">
      <x:c r="A38" s="7" t="s">
        <x:v>101</x:v>
      </x:c>
      <x:c r="B38" s="8" t="n">
        <x:f>B35-B37</x:f>
        <x:v>15000</x:v>
      </x:c>
      <x:c r="C38" s="9"/>
      <x:c r="D38" s="9"/>
      <x:c r="E38" s="9"/>
      <x:c r="F38" s="9"/>
      <x:c r="G38" s="9"/>
      <x:c r="H38" s="9"/>
      <x:c r="I38" s="9"/>
      <x:c r="J38" s="9"/>
      <x:c r="K38" s="9"/>
      <x:c r="L38" s="9"/>
    </x:row>
    <x:row r="39" ht="15">
      <x:c r="A39" s="61" t="s">
        <x:v>102</x:v>
      </x:c>
      <x:c r="B39" s="61"/>
      <x:c r="C39" s="61"/>
      <x:c r="D39" s="61"/>
      <x:c r="E39" s="61"/>
      <x:c r="F39" s="61"/>
      <x:c r="G39" s="61"/>
      <x:c r="H39" s="61"/>
      <x:c r="I39" s="61"/>
      <x:c r="J39" s="61"/>
      <x:c r="K39" s="61"/>
      <x:c r="L39" s="61"/>
    </x:row>
  </x:sheetData>
  <x:mergeCells>
    <x:mergeCell ref="A1:L1"/>
    <x:mergeCell ref="A2:L2"/>
    <x:mergeCell ref="A3:L3"/>
    <x:mergeCell ref="A39:L39"/>
    <x:mergeCell ref="A5:B5"/>
    <x:mergeCell ref="A6:B6"/>
    <x:mergeCell ref="A7:B7"/>
    <x:mergeCell ref="C5:D5"/>
    <x:mergeCell ref="C6:D6"/>
    <x:mergeCell ref="C7:D7"/>
    <x:mergeCell ref="E5:F5"/>
    <x:mergeCell ref="E6:F6"/>
    <x:mergeCell ref="E7:F7"/>
    <x:mergeCell ref="G5:H5"/>
    <x:mergeCell ref="G6:H6"/>
    <x:mergeCell ref="G7:H7"/>
    <x:mergeCell ref="I5:J5"/>
    <x:mergeCell ref="I6:J6"/>
    <x:mergeCell ref="I7:J7"/>
    <x:mergeCell ref="K5:L5"/>
    <x:mergeCell ref="K6:L6"/>
    <x:mergeCell ref="K7:L7"/>
    <x:mergeCell ref="A10:F10"/>
    <x:mergeCell ref="A11:F15"/>
    <x:mergeCell ref="G10:L10"/>
    <x:mergeCell ref="G11:L15"/>
    <x:mergeCell ref="A17:F17"/>
    <x:mergeCell ref="G17:L17"/>
    <x:mergeCell ref="F34:L34"/>
    <x:mergeCell ref="F35:L35"/>
    <x:mergeCell ref="F36:L36"/>
    <x:mergeCell ref="A26:D26"/>
    <x:mergeCell ref="A33:D33"/>
    <x:mergeCell ref="E26:L26"/>
    <x:mergeCell ref="F28:L28"/>
    <x:mergeCell ref="F29:L29"/>
    <x:mergeCell ref="F30:L30"/>
    <x:mergeCell ref="F31:L31"/>
    <x:mergeCell ref="F32:L32"/>
    <x:mergeCell ref="F33:L33"/>
  </x:mergeCells>
  <x:conditionalFormatting sqref="A28:A31">
    <x:cfRule type="expression" dxfId="77" priority="67">
      <x:formula>A28="Complete"</x:formula>
    </x:cfRule>
    <x:cfRule type="expression" dxfId="76" priority="79">
      <x:formula>A28="In Review"</x:formula>
    </x:cfRule>
    <x:cfRule type="expression" dxfId="75" priority="78">
      <x:formula>A28="Not Started"</x:formula>
    </x:cfRule>
    <x:cfRule type="expression" dxfId="74" priority="77">
      <x:formula>A28="Critical"</x:formula>
    </x:cfRule>
    <x:cfRule type="expression" dxfId="73" priority="76">
      <x:formula>A28="At Risk"</x:formula>
    </x:cfRule>
    <x:cfRule type="expression" dxfId="72" priority="75">
      <x:formula>A28="Open"</x:formula>
    </x:cfRule>
    <x:cfRule type="expression" dxfId="71" priority="74">
      <x:formula>A28="Pending"</x:formula>
    </x:cfRule>
    <x:cfRule type="expression" dxfId="70" priority="73">
      <x:formula>A28="Watch"</x:formula>
    </x:cfRule>
    <x:cfRule type="expression" dxfId="69" priority="72">
      <x:formula>A28="In Progress"</x:formula>
    </x:cfRule>
    <x:cfRule type="expression" dxfId="68" priority="71">
      <x:formula>A28="Available"</x:formula>
    </x:cfRule>
    <x:cfRule type="expression" dxfId="67" priority="70">
      <x:formula>A28="Confirmed"</x:formula>
    </x:cfRule>
    <x:cfRule type="expression" dxfId="66" priority="69">
      <x:formula>A28="Approved"</x:formula>
    </x:cfRule>
    <x:cfRule type="expression" dxfId="65" priority="68">
      <x:formula>A28="On Track"</x:formula>
    </x:cfRule>
  </x:conditionalFormatting>
  <x:conditionalFormatting sqref="B28:B31">
    <x:cfRule type="dataBar" priority="81">
      <x:dataBar>
        <x:cfvo type="min"/>
        <x:cfvo type="max"/>
        <x:color rgb="FFB4873E"/>
      </x:dataBar>
      <x:extLst>
        <x:ext xmlns:x14="http://schemas.microsoft.com/office/spreadsheetml/2009/9/main" uri="{B025F937-C7B1-47D3-B67F-A62EFF666E3E}">
          <x14:id>{7092003B-33F4-6CB2-F316-E829576CC42D}</x14:id>
        </x:ext>
      </x:extLst>
    </x:cfRule>
    <x:cfRule type="dataBar" priority="80">
      <x:dataBar>
        <x:cfvo type="min"/>
        <x:cfvo type="max"/>
        <x:color rgb="FFB4873E"/>
      </x:dataBar>
    </x:cfRule>
    <x:cfRule type="dataBar" priority="40">
      <x:dataBar>
        <x:cfvo type="min"/>
        <x:cfvo type="max"/>
        <x:color rgb="FFB4873E"/>
      </x:dataBar>
    </x:cfRule>
  </x:conditionalFormatting>
  <x:conditionalFormatting sqref="F19:F23">
    <x:cfRule type="expression" dxfId="64" priority="51">
      <x:formula>F19="Critical"</x:formula>
    </x:cfRule>
    <x:cfRule type="expression" dxfId="63" priority="41">
      <x:formula>F19="Complete"</x:formula>
    </x:cfRule>
    <x:cfRule type="expression" dxfId="62" priority="42">
      <x:formula>F19="On Track"</x:formula>
    </x:cfRule>
    <x:cfRule type="expression" dxfId="61" priority="43">
      <x:formula>F19="Approved"</x:formula>
    </x:cfRule>
    <x:cfRule type="expression" dxfId="60" priority="44">
      <x:formula>F19="Confirmed"</x:formula>
    </x:cfRule>
    <x:cfRule type="expression" dxfId="59" priority="45">
      <x:formula>F19="Available"</x:formula>
    </x:cfRule>
    <x:cfRule type="expression" dxfId="58" priority="46">
      <x:formula>F19="In Progress"</x:formula>
    </x:cfRule>
    <x:cfRule type="expression" dxfId="57" priority="47">
      <x:formula>F19="Watch"</x:formula>
    </x:cfRule>
    <x:cfRule type="expression" dxfId="56" priority="48">
      <x:formula>F19="Pending"</x:formula>
    </x:cfRule>
    <x:cfRule type="expression" dxfId="55" priority="49">
      <x:formula>F19="Open"</x:formula>
    </x:cfRule>
    <x:cfRule type="expression" dxfId="54" priority="50">
      <x:formula>F19="At Risk"</x:formula>
    </x:cfRule>
    <x:cfRule type="expression" dxfId="53" priority="53">
      <x:formula>F19="In Review"</x:formula>
    </x:cfRule>
    <x:cfRule type="expression" dxfId="52" priority="52">
      <x:formula>F19="Not Started"</x:formula>
    </x:cfRule>
  </x:conditionalFormatting>
  <x:conditionalFormatting sqref="K19:K23">
    <x:cfRule type="expression" dxfId="51" priority="54">
      <x:formula>K19="Complete"</x:formula>
    </x:cfRule>
    <x:cfRule type="expression" dxfId="50" priority="66">
      <x:formula>K19="In Review"</x:formula>
    </x:cfRule>
    <x:cfRule type="expression" dxfId="49" priority="65">
      <x:formula>K19="Not Started"</x:formula>
    </x:cfRule>
    <x:cfRule type="expression" dxfId="48" priority="64">
      <x:formula>K19="Critical"</x:formula>
    </x:cfRule>
    <x:cfRule type="expression" dxfId="47" priority="63">
      <x:formula>K19="At Risk"</x:formula>
    </x:cfRule>
    <x:cfRule type="expression" dxfId="46" priority="62">
      <x:formula>K19="Open"</x:formula>
    </x:cfRule>
    <x:cfRule type="expression" dxfId="45" priority="60">
      <x:formula>K19="Watch"</x:formula>
    </x:cfRule>
    <x:cfRule type="expression" dxfId="44" priority="59">
      <x:formula>K19="In Progress"</x:formula>
    </x:cfRule>
    <x:cfRule type="expression" dxfId="43" priority="58">
      <x:formula>K19="Available"</x:formula>
    </x:cfRule>
    <x:cfRule type="expression" dxfId="42" priority="57">
      <x:formula>K19="Confirmed"</x:formula>
    </x:cfRule>
    <x:cfRule type="expression" dxfId="41" priority="56">
      <x:formula>K19="Approved"</x:formula>
    </x:cfRule>
    <x:cfRule type="expression" dxfId="40" priority="55">
      <x:formula>K19="On Track"</x:formula>
    </x:cfRule>
    <x:cfRule type="expression" dxfId="39" priority="61">
      <x:formula>K19="Pending"</x:formula>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81" id="{7092003B-33F4-6CB2-F316-E829576CC42D}">
            <x14:dataBar>
              <x14:cfvo type="min"/>
              <x14:cfvo type="max"/>
              <x14:fillColor rgb="FFB4873E"/>
              <x14:negativeFillColor auto="1"/>
              <x14:axisColor auto="1"/>
            </x14:dataBar>
          </x14:cfRule>
          <xm:sqref>B28:B31</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8.5" customWidth="1"/>
    <x:col min="2" max="2" width="22" customWidth="1"/>
    <x:col min="3" max="3" width="24.83203125" customWidth="1"/>
    <x:col min="4" max="4" width="18" customWidth="1"/>
    <x:col min="5" max="5" width="32.5" customWidth="1"/>
    <x:col min="6" max="6" width="3" customWidth="1"/>
    <x:col min="7" max="7" width="15.5" customWidth="1"/>
    <x:col min="8" max="8" width="22.5" customWidth="1"/>
    <x:col min="9" max="9" width="24.1640625" customWidth="1"/>
    <x:col min="10" max="10" width="18" customWidth="1"/>
    <x:col min="11" max="11" width="33.33203125" customWidth="1"/>
  </x:cols>
  <x:sheetData>
    <x:row r="1" ht="36" customHeight="1">
      <x:c r="A1" s="58" t="s">
        <x:v>79</x:v>
      </x:c>
      <x:c r="B1" s="58"/>
      <x:c r="C1" s="58"/>
      <x:c r="D1" s="58"/>
      <x:c r="E1" s="58"/>
      <x:c r="F1" s="58"/>
      <x:c r="G1" s="58"/>
      <x:c r="H1" s="58"/>
      <x:c r="I1" s="58"/>
      <x:c r="J1" s="58"/>
      <x:c r="K1" s="58"/>
    </x:row>
    <x:row r="2" ht="42" customHeight="1">
      <x:c r="A2" s="95" t="str">
        <x:v>Aircraft Return-to-Service Project.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59"/>
      <x:c r="K2" s="59"/>
    </x:row>
    <x:row r="3" ht="7" customHeight="1">
      <x:c r="A3" s="65"/>
      <x:c r="B3" s="65"/>
      <x:c r="C3" s="65"/>
      <x:c r="D3" s="65"/>
      <x:c r="E3" s="65"/>
      <x:c r="F3" s="65"/>
      <x:c r="G3" s="65"/>
      <x:c r="H3" s="65"/>
      <x:c r="I3" s="65"/>
      <x:c r="J3" s="65"/>
      <x:c r="K3" s="65"/>
    </x:row>
    <x:row r="4">
      <x:c r="A4" s="1"/>
      <x:c r="B4" s="1"/>
      <x:c r="C4" s="1"/>
      <x:c r="D4" s="1"/>
      <x:c r="E4" s="1"/>
      <x:c r="F4" s="1"/>
      <x:c r="G4" s="1"/>
      <x:c r="H4" s="1"/>
      <x:c r="I4" s="1"/>
      <x:c r="J4" s="1"/>
      <x:c r="K4" s="1"/>
    </x:row>
    <x:row r="5" ht="29.25" customHeight="1">
      <x:c r="A5" s="52" t="s">
        <x:v>103</x:v>
      </x:c>
      <x:c r="B5" s="52"/>
      <x:c r="C5" s="52"/>
      <x:c r="D5" s="52"/>
      <x:c r="E5" s="52"/>
      <x:c r="F5" s="52"/>
      <x:c r="G5" s="52"/>
      <x:c r="H5" s="52"/>
      <x:c r="I5" s="52"/>
      <x:c r="J5" s="52"/>
      <x:c r="K5" s="52"/>
    </x:row>
    <x:row r="6" ht="15">
      <x:c r="A6" s="12" t="s">
        <x:v>104</x:v>
      </x:c>
      <x:c r="B6" s="53" t="s">
        <x:v>0</x:v>
      </x:c>
      <x:c r="C6" s="53"/>
      <x:c r="D6" s="12" t="s">
        <x:v>105</x:v>
      </x:c>
      <x:c r="E6" s="64" t="str">
        <x:v>Coordinate a fictional aircraft return-to-service project over 12 weeks while keeping work, generic needs, labor, reviews, and handoffs organized.</x:v>
      </x:c>
      <x:c r="F6" s="64"/>
      <x:c r="G6" s="64"/>
      <x:c r="H6" s="64"/>
      <x:c r="I6" s="64"/>
      <x:c r="J6" s="64"/>
      <x:c r="K6" s="64"/>
    </x:row>
    <x:row r="7" ht="15">
      <x:c r="A7" s="12" t="s">
        <x:v>106</x:v>
      </x:c>
      <x:c r="B7" s="53" t="s">
        <x:v>107</x:v>
      </x:c>
      <x:c r="C7" s="53"/>
      <x:c r="D7" s="12" t="s">
        <x:v>19</x:v>
      </x:c>
      <x:c r="E7" s="64" t="str">
        <x:v>Demonstrate how a fictional recovery target can be coordinated while giving leadership a clear view of progress and decisions.</x:v>
      </x:c>
      <x:c r="F7" s="64"/>
      <x:c r="G7" s="64"/>
      <x:c r="H7" s="64"/>
      <x:c r="I7" s="64"/>
      <x:c r="J7" s="64"/>
      <x:c r="K7" s="64"/>
    </x:row>
    <x:row r="8" ht="15">
      <x:c r="A8" s="12" t="s">
        <x:v>108</x:v>
      </x:c>
      <x:c r="B8" s="53" t="s">
        <x:v>109</x:v>
      </x:c>
      <x:c r="C8" s="53"/>
      <x:c r="D8" s="12" t="s">
        <x:v>110</x:v>
      </x:c>
      <x:c r="E8" s="64" t="s">
        <x:v>111</x:v>
      </x:c>
      <x:c r="F8" s="64"/>
      <x:c r="G8" s="64"/>
      <x:c r="H8" s="64"/>
      <x:c r="I8" s="64"/>
      <x:c r="J8" s="64"/>
      <x:c r="K8" s="64"/>
    </x:row>
    <x:row r="9" ht="15">
      <x:c r="A9" s="12" t="s">
        <x:v>29</x:v>
      </x:c>
      <x:c r="B9" s="53" t="s">
        <x:v>112</x:v>
      </x:c>
      <x:c r="C9" s="53"/>
      <x:c r="D9" s="12" t="s">
        <x:v>113</x:v>
      </x:c>
      <x:c r="E9" s="64" t="str">
        <x:v>The sample remains outside operational scheduling until illustrative project-control closeout conditions are met.</x:v>
      </x:c>
      <x:c r="F9" s="64"/>
      <x:c r="G9" s="64"/>
      <x:c r="H9" s="64"/>
      <x:c r="I9" s="64"/>
      <x:c r="J9" s="64"/>
      <x:c r="K9" s="64"/>
    </x:row>
    <x:row r="10" ht="15">
      <x:c r="A10" s="12" t="s">
        <x:v>114</x:v>
      </x:c>
      <x:c r="B10" s="53" t="s">
        <x:v>115</x:v>
      </x:c>
      <x:c r="C10" s="53"/>
      <x:c r="D10" s="12" t="s">
        <x:v>116</x:v>
      </x:c>
      <x:c r="E10" s="64" t="str">
        <x:v>The sample reaches project-control closeout by Week 12, stays within the approved budget, completes all required gates, and documents and closes any resulting rework.</x:v>
      </x:c>
      <x:c r="F10" s="64"/>
      <x:c r="G10" s="64"/>
      <x:c r="H10" s="64"/>
      <x:c r="I10" s="64"/>
      <x:c r="J10" s="64"/>
      <x:c r="K10" s="64"/>
    </x:row>
    <x:row r="11" ht="15">
      <x:c r="A11" s="12" t="s">
        <x:v>95</x:v>
      </x:c>
      <x:c r="B11" s="53" t="s">
        <x:v>117</x:v>
      </x:c>
      <x:c r="C11" s="53"/>
      <x:c r="D11" s="12" t="s">
        <x:v>118</x:v>
      </x:c>
      <x:c r="E11" s="64" t="s">
        <x:v>119</x:v>
      </x:c>
      <x:c r="F11" s="64"/>
      <x:c r="G11" s="64"/>
      <x:c r="H11" s="64"/>
      <x:c r="I11" s="64"/>
      <x:c r="J11" s="64"/>
      <x:c r="K11" s="64"/>
    </x:row>
    <x:row r="12" ht="30">
      <x:c r="A12" s="12" t="s">
        <x:v>120</x:v>
      </x:c>
      <x:c r="B12" s="53" t="str">
        <x:v>Illustrative Return-to-Service Target</x:v>
      </x:c>
      <x:c r="C12" s="53"/>
      <x:c r="D12" s="12" t="s">
        <x:v>121</x:v>
      </x:c>
      <x:c r="E12" s="64" t="s">
        <x:v>122</x:v>
      </x:c>
      <x:c r="F12" s="64"/>
      <x:c r="G12" s="64"/>
      <x:c r="H12" s="64"/>
      <x:c r="I12" s="64"/>
      <x:c r="J12" s="64"/>
      <x:c r="K12" s="64"/>
    </x:row>
    <x:row r="13">
      <x:c r="A13" s="13"/>
      <x:c r="B13" s="13"/>
      <x:c r="C13" s="13"/>
      <x:c r="D13" s="13"/>
      <x:c r="E13" s="13"/>
      <x:c r="F13" s="13"/>
      <x:c r="G13" s="13"/>
      <x:c r="H13" s="13"/>
      <x:c r="I13" s="13"/>
      <x:c r="J13" s="13"/>
      <x:c r="K13" s="13"/>
    </x:row>
    <x:row r="14">
      <x:c r="A14" s="13"/>
      <x:c r="B14" s="13"/>
      <x:c r="C14" s="13"/>
      <x:c r="D14" s="13"/>
      <x:c r="E14" s="13"/>
      <x:c r="F14" s="13"/>
      <x:c r="G14" s="13"/>
      <x:c r="H14" s="13"/>
      <x:c r="I14" s="13"/>
      <x:c r="J14" s="13"/>
      <x:c r="K14" s="13"/>
    </x:row>
    <x:row r="15">
      <x:c r="A15" s="99" t="s">
        <x:v>123</x:v>
      </x:c>
      <x:c r="B15" s="99"/>
      <x:c r="C15" s="99"/>
      <x:c r="D15" s="99"/>
      <x:c r="E15" s="99"/>
      <x:c r="F15" s="30"/>
      <x:c r="G15" s="99" t="s">
        <x:v>124</x:v>
      </x:c>
      <x:c r="H15" s="99"/>
      <x:c r="I15" s="99"/>
      <x:c r="J15" s="99"/>
      <x:c r="K15" s="99"/>
    </x:row>
    <x:row r="16" ht="15">
      <x:c r="A16" s="14" t="s">
        <x:v>125</x:v>
      </x:c>
      <x:c r="B16" s="53" t="s">
        <x:v>126</x:v>
      </x:c>
      <x:c r="C16" s="53"/>
      <x:c r="D16" s="53"/>
      <x:c r="E16" s="53"/>
      <x:c r="F16" s="13"/>
      <x:c r="G16" s="15" t="s">
        <x:v>127</x:v>
      </x:c>
      <x:c r="H16" s="53" t="s">
        <x:v>128</x:v>
      </x:c>
      <x:c r="I16" s="53"/>
      <x:c r="J16" s="53"/>
      <x:c r="K16" s="53"/>
    </x:row>
    <x:row r="17" ht="15">
      <x:c r="A17" s="14" t="s">
        <x:v>125</x:v>
      </x:c>
      <x:c r="B17" s="53" t="s">
        <x:v>129</x:v>
      </x:c>
      <x:c r="C17" s="53"/>
      <x:c r="D17" s="53"/>
      <x:c r="E17" s="53"/>
      <x:c r="F17" s="13"/>
      <x:c r="G17" s="15" t="s">
        <x:v>127</x:v>
      </x:c>
      <x:c r="H17" s="53" t="s">
        <x:v>130</x:v>
      </x:c>
      <x:c r="I17" s="53"/>
      <x:c r="J17" s="53"/>
      <x:c r="K17" s="53"/>
    </x:row>
    <x:row r="18" ht="15">
      <x:c r="A18" s="14" t="s">
        <x:v>125</x:v>
      </x:c>
      <x:c r="B18" s="53" t="str">
        <x:v>Work-center coordination, project-control gate reviews, and illustrative closeout</x:v>
      </x:c>
      <x:c r="C18" s="53"/>
      <x:c r="D18" s="53"/>
      <x:c r="E18" s="53"/>
      <x:c r="F18" s="13"/>
      <x:c r="G18" s="15" t="s">
        <x:v>127</x:v>
      </x:c>
      <x:c r="H18" s="53" t="s">
        <x:v>131</x:v>
      </x:c>
      <x:c r="I18" s="53"/>
      <x:c r="J18" s="53"/>
      <x:c r="K18" s="53"/>
    </x:row>
    <x:row r="19" ht="15">
      <x:c r="A19" s="14" t="s">
        <x:v>125</x:v>
      </x:c>
      <x:c r="B19" s="53" t="s">
        <x:v>132</x:v>
      </x:c>
      <x:c r="C19" s="53"/>
      <x:c r="D19" s="53"/>
      <x:c r="E19" s="53"/>
      <x:c r="F19" s="13"/>
      <x:c r="G19" s="15" t="s">
        <x:v>127</x:v>
      </x:c>
      <x:c r="H19" s="53" t="s">
        <x:v>133</x:v>
      </x:c>
      <x:c r="I19" s="53"/>
      <x:c r="J19" s="53"/>
      <x:c r="K19" s="53"/>
    </x:row>
    <x:row r="20" ht="15">
      <x:c r="A20" s="14" t="s">
        <x:v>125</x:v>
      </x:c>
      <x:c r="B20" s="53" t="s">
        <x:v>134</x:v>
      </x:c>
      <x:c r="C20" s="53"/>
      <x:c r="D20" s="53"/>
      <x:c r="E20" s="53"/>
      <x:c r="F20" s="13"/>
      <x:c r="G20" s="15" t="s">
        <x:v>127</x:v>
      </x:c>
      <x:c r="H20" s="53" t="s">
        <x:v>135</x:v>
      </x:c>
      <x:c r="I20" s="53"/>
      <x:c r="J20" s="53"/>
      <x:c r="K20" s="53"/>
    </x:row>
    <x:row r="21">
      <x:c r="A21" s="13"/>
      <x:c r="B21" s="13"/>
      <x:c r="C21" s="13"/>
      <x:c r="D21" s="13"/>
      <x:c r="E21" s="13"/>
      <x:c r="F21" s="13"/>
      <x:c r="G21" s="13"/>
      <x:c r="H21" s="13"/>
      <x:c r="I21" s="13"/>
      <x:c r="J21" s="13"/>
      <x:c r="K21" s="13"/>
    </x:row>
    <x:row r="22">
      <x:c r="A22" s="13"/>
      <x:c r="B22" s="13"/>
      <x:c r="C22" s="13"/>
      <x:c r="D22" s="13"/>
      <x:c r="E22" s="13"/>
      <x:c r="F22" s="13"/>
      <x:c r="G22" s="13"/>
      <x:c r="H22" s="13"/>
      <x:c r="I22" s="13"/>
      <x:c r="J22" s="13"/>
      <x:c r="K22" s="13"/>
    </x:row>
    <x:row r="23">
      <x:c r="A23" s="99" t="s">
        <x:v>136</x:v>
      </x:c>
      <x:c r="B23" s="99"/>
      <x:c r="C23" s="99"/>
      <x:c r="D23" s="99"/>
      <x:c r="E23" s="99"/>
      <x:c r="F23" s="99"/>
      <x:c r="G23" s="99"/>
      <x:c r="H23" s="99"/>
      <x:c r="I23" s="99"/>
      <x:c r="J23" s="99"/>
      <x:c r="K23" s="99"/>
    </x:row>
    <x:row r="24" ht="34" customHeight="1">
      <x:c r="A24" s="100" t="s">
        <x:v>137</x:v>
      </x:c>
      <x:c r="B24" s="100" t="s">
        <x:v>138</x:v>
      </x:c>
      <x:c r="C24" s="100" t="s">
        <x:v>139</x:v>
      </x:c>
      <x:c r="D24" s="100" t="s">
        <x:v>140</x:v>
      </x:c>
      <x:c r="E24" s="100" t="s">
        <x:v>141</x:v>
      </x:c>
      <x:c r="F24" s="16"/>
      <x:c r="G24" s="100" t="s">
        <x:v>137</x:v>
      </x:c>
      <x:c r="H24" s="100" t="s">
        <x:v>138</x:v>
      </x:c>
      <x:c r="I24" s="100" t="s">
        <x:v>139</x:v>
      </x:c>
      <x:c r="J24" s="100" t="s">
        <x:v>140</x:v>
      </x:c>
      <x:c r="K24" s="100" t="s">
        <x:v>141</x:v>
      </x:c>
    </x:row>
    <x:row r="25" ht="30">
      <x:c r="A25" s="13" t="s">
        <x:v>142</x:v>
      </x:c>
      <x:c r="B25" s="13" t="str">
        <x:v>Reaching the fictional project target</x:v>
      </x:c>
      <x:c r="C25" s="13" t="str">
        <x:v>Approves fictional project scope and closeout</x:v>
      </x:c>
      <x:c r="D25" s="13" t="s">
        <x:v>143</x:v>
      </x:c>
      <x:c r="E25" s="13" t="str">
        <x:v>Priority and sample closeout criteria</x:v>
      </x:c>
      <x:c r="F25" s="13"/>
      <x:c r="G25" s="13" t="s">
        <x:v>29</x:v>
      </x:c>
      <x:c r="H25" s="13" t="s">
        <x:v>144</x:v>
      </x:c>
      <x:c r="I25" s="13" t="s">
        <x:v>145</x:v>
      </x:c>
      <x:c r="J25" s="13" t="s">
        <x:v>146</x:v>
      </x:c>
      <x:c r="K25" s="13" t="s">
        <x:v>147</x:v>
      </x:c>
    </x:row>
    <x:row r="26" ht="30">
      <x:c r="A26" s="13" t="s">
        <x:v>148</x:v>
      </x:c>
      <x:c r="B26" s="13" t="s">
        <x:v>149</x:v>
      </x:c>
      <x:c r="C26" s="13" t="s">
        <x:v>150</x:v>
      </x:c>
      <x:c r="D26" s="13" t="s">
        <x:v>151</x:v>
      </x:c>
      <x:c r="E26" s="13" t="s">
        <x:v>152</x:v>
      </x:c>
      <x:c r="F26" s="13"/>
      <x:c r="G26" s="13" t="s">
        <x:v>39</x:v>
      </x:c>
      <x:c r="H26" s="13" t="s">
        <x:v>153</x:v>
      </x:c>
      <x:c r="I26" s="13" t="s">
        <x:v>154</x:v>
      </x:c>
      <x:c r="J26" s="13" t="s">
        <x:v>155</x:v>
      </x:c>
      <x:c r="K26" s="13" t="s">
        <x:v>156</x:v>
      </x:c>
    </x:row>
    <x:row r="27" ht="30">
      <x:c r="A27" s="13" t="s">
        <x:v>157</x:v>
      </x:c>
      <x:c r="B27" s="13" t="str">
        <x:v>Project review and readiness tracking</x:v>
      </x:c>
      <x:c r="C27" s="13" t="str">
        <x:v>Reviews project-control gate evidence</x:v>
      </x:c>
      <x:c r="D27" s="13" t="s">
        <x:v>158</x:v>
      </x:c>
      <x:c r="E27" s="13" t="str">
        <x:v>Review timing and project evidence needs</x:v>
      </x:c>
      <x:c r="F27" s="13"/>
      <x:c r="G27" s="13" t="s">
        <x:v>159</x:v>
      </x:c>
      <x:c r="H27" s="13" t="s">
        <x:v>160</x:v>
      </x:c>
      <x:c r="I27" s="13" t="s">
        <x:v>161</x:v>
      </x:c>
      <x:c r="J27" s="13" t="s">
        <x:v>162</x:v>
      </x:c>
      <x:c r="K27" s="13" t="s">
        <x:v>163</x:v>
      </x:c>
    </x:row>
    <x:row r="28" ht="30">
      <x:c r="A28" s="13" t="s">
        <x:v>164</x:v>
      </x:c>
      <x:c r="B28" s="13" t="s">
        <x:v>165</x:v>
      </x:c>
      <x:c r="C28" s="13" t="s">
        <x:v>166</x:v>
      </x:c>
      <x:c r="D28" s="13" t="s">
        <x:v>167</x:v>
      </x:c>
      <x:c r="E28" s="13" t="s">
        <x:v>168</x:v>
      </x:c>
      <x:c r="F28" s="13"/>
      <x:c r="G28" s="13" t="s">
        <x:v>169</x:v>
      </x:c>
      <x:c r="H28" s="13" t="s">
        <x:v>170</x:v>
      </x:c>
      <x:c r="I28" s="13" t="s">
        <x:v>171</x:v>
      </x:c>
      <x:c r="J28" s="13" t="s">
        <x:v>172</x:v>
      </x:c>
      <x:c r="K28" s="13" t="s">
        <x:v>173</x:v>
      </x:c>
    </x:row>
    <x:row r="29" ht="30">
      <x:c r="A29" s="13" t="s">
        <x:v>174</x:v>
      </x:c>
      <x:c r="B29" s="13" t="s">
        <x:v>175</x:v>
      </x:c>
      <x:c r="C29" s="13" t="s">
        <x:v>176</x:v>
      </x:c>
      <x:c r="D29" s="13" t="s">
        <x:v>167</x:v>
      </x:c>
      <x:c r="E29" s="13" t="s">
        <x:v>177</x:v>
      </x:c>
      <x:c r="F29" s="13"/>
      <x:c r="G29" s="13" t="s">
        <x:v>178</x:v>
      </x:c>
      <x:c r="H29" s="13" t="s">
        <x:v>179</x:v>
      </x:c>
      <x:c r="I29" s="13" t="s">
        <x:v>180</x:v>
      </x:c>
      <x:c r="J29" s="13" t="s">
        <x:v>181</x:v>
      </x:c>
      <x:c r="K29" s="13" t="s">
        <x:v>182</x:v>
      </x:c>
    </x:row>
    <x:row r="30" ht="24" customHeight="1">
      <x:c r="A30" s="61" t="s">
        <x:v>102</x:v>
      </x:c>
      <x:c r="B30" s="61"/>
      <x:c r="C30" s="61"/>
      <x:c r="D30" s="61"/>
      <x:c r="E30" s="61"/>
      <x:c r="F30" s="61"/>
      <x:c r="G30" s="61"/>
      <x:c r="H30" s="61"/>
      <x:c r="I30" s="61"/>
      <x:c r="J30" s="61"/>
      <x:c r="K30" s="61"/>
    </x:row>
  </x:sheetData>
  <x:mergeCells>
    <x:mergeCell ref="A1:K1"/>
    <x:mergeCell ref="A2:K2"/>
    <x:mergeCell ref="A3:K3"/>
    <x:mergeCell ref="A30:K30"/>
    <x:mergeCell ref="A5:K5"/>
    <x:mergeCell ref="B6:C6"/>
    <x:mergeCell ref="E6:K6"/>
    <x:mergeCell ref="B7:C7"/>
    <x:mergeCell ref="E7:K7"/>
    <x:mergeCell ref="B8:C8"/>
    <x:mergeCell ref="E8:K8"/>
    <x:mergeCell ref="B9:C9"/>
    <x:mergeCell ref="E9:K9"/>
    <x:mergeCell ref="B10:C10"/>
    <x:mergeCell ref="E10:K10"/>
    <x:mergeCell ref="B11:C11"/>
    <x:mergeCell ref="E11:K11"/>
    <x:mergeCell ref="B12:C12"/>
    <x:mergeCell ref="E12:K12"/>
    <x:mergeCell ref="A15:E15"/>
    <x:mergeCell ref="B16:E16"/>
    <x:mergeCell ref="G15:K15"/>
    <x:mergeCell ref="H16:K16"/>
    <x:mergeCell ref="H17:K17"/>
    <x:mergeCell ref="H18:K18"/>
    <x:mergeCell ref="H19:K19"/>
    <x:mergeCell ref="A23:K23"/>
    <x:mergeCell ref="B17:E17"/>
    <x:mergeCell ref="B18:E18"/>
    <x:mergeCell ref="B19:E19"/>
    <x:mergeCell ref="B20:E20"/>
    <x:mergeCell ref="H20:K2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2" width="15" customWidth="1"/>
    <x:col min="3" max="3" width="39" customWidth="1"/>
    <x:col min="4" max="4" width="20" customWidth="1"/>
    <x:col min="5" max="5" width="14" customWidth="1"/>
    <x:col min="6" max="8" width="12" customWidth="1"/>
    <x:col min="9" max="9" width="16" customWidth="1"/>
    <x:col min="10" max="11" width="17" customWidth="1"/>
    <x:col min="12" max="12" width="25" customWidth="1"/>
    <x:col min="13" max="13" width="16" customWidth="1"/>
    <x:col min="14" max="14" width="42" customWidth="1"/>
  </x:cols>
  <x:sheetData>
    <x:row r="1" ht="36" customHeight="1">
      <x:c r="A1" s="58" t="s">
        <x:v>183</x:v>
      </x:c>
      <x:c r="B1" s="58"/>
      <x:c r="C1" s="58"/>
      <x:c r="D1" s="58"/>
      <x:c r="E1" s="58"/>
      <x:c r="F1" s="58"/>
      <x:c r="G1" s="58"/>
      <x:c r="H1" s="58"/>
      <x:c r="I1" s="58"/>
      <x:c r="J1" s="58"/>
      <x:c r="K1" s="58"/>
      <x:c r="L1" s="58"/>
      <x:c r="M1" s="58"/>
      <x:c r="N1" s="58"/>
    </x:row>
    <x:row r="2" ht="42" customHeight="1">
      <x:c r="A2" s="95" t="str">
        <x:v>Sample work plan, ownership, progress, and dependencies.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59"/>
      <x:c r="K2" s="59"/>
      <x:c r="L2" s="59"/>
      <x:c r="M2" s="59"/>
      <x:c r="N2" s="59"/>
    </x:row>
    <x:row r="3" ht="7" customHeight="1">
      <x:c r="A3" s="66"/>
      <x:c r="B3" s="66"/>
      <x:c r="C3" s="66"/>
      <x:c r="D3" s="66"/>
      <x:c r="E3" s="66"/>
      <x:c r="F3" s="66"/>
      <x:c r="G3" s="66"/>
      <x:c r="H3" s="66"/>
      <x:c r="I3" s="66"/>
      <x:c r="J3" s="66"/>
      <x:c r="K3" s="66"/>
      <x:c r="L3" s="66"/>
      <x:c r="M3" s="66"/>
      <x:c r="N3" s="66"/>
    </x:row>
    <x:row r="4" ht="15">
      <x:c r="A4" s="3"/>
      <x:c r="B4" s="3"/>
      <x:c r="C4" s="3"/>
      <x:c r="D4" s="3"/>
      <x:c r="E4" s="3"/>
      <x:c r="F4" s="3"/>
      <x:c r="G4" s="3"/>
      <x:c r="H4" s="3"/>
      <x:c r="I4" s="3"/>
      <x:c r="J4" s="3"/>
      <x:c r="K4" s="3"/>
      <x:c r="L4" s="3"/>
      <x:c r="M4" s="3"/>
      <x:c r="N4" s="3"/>
    </x:row>
    <x:row r="5" ht="34" customHeight="1">
      <x:c r="A5" s="29" t="s">
        <x:v>184</x:v>
      </x:c>
      <x:c r="B5" s="29" t="s">
        <x:v>185</x:v>
      </x:c>
      <x:c r="C5" s="29" t="s">
        <x:v>186</x:v>
      </x:c>
      <x:c r="D5" s="29" t="s">
        <x:v>18</x:v>
      </x:c>
      <x:c r="E5" s="29" t="s">
        <x:v>187</x:v>
      </x:c>
      <x:c r="F5" s="29" t="s">
        <x:v>188</x:v>
      </x:c>
      <x:c r="G5" s="29" t="s">
        <x:v>189</x:v>
      </x:c>
      <x:c r="H5" s="29" t="s">
        <x:v>190</x:v>
      </x:c>
      <x:c r="I5" s="29" t="s">
        <x:v>21</x:v>
      </x:c>
      <x:c r="J5" s="29" t="s">
        <x:v>191</x:v>
      </x:c>
      <x:c r="K5" s="29" t="s">
        <x:v>192</x:v>
      </x:c>
      <x:c r="L5" s="29" t="s">
        <x:v>25</x:v>
      </x:c>
      <x:c r="M5" s="29" t="s">
        <x:v>193</x:v>
      </x:c>
      <x:c r="N5" s="29" t="s">
        <x:v>194</x:v>
      </x:c>
    </x:row>
    <x:row r="6" ht="45.25" customHeight="1">
      <x:c r="A6" s="13" t="s">
        <x:v>195</x:v>
      </x:c>
      <x:c r="B6" s="13" t="s">
        <x:v>196</x:v>
      </x:c>
      <x:c r="C6" s="19" t="s">
        <x:v>197</x:v>
      </x:c>
      <x:c r="D6" s="19" t="s">
        <x:v>159</x:v>
      </x:c>
      <x:c r="E6" s="17">
        <x:v>5</x:v>
      </x:c>
      <x:c r="F6" s="17">
        <x:v>1</x:v>
      </x:c>
      <x:c r="G6" s="17">
        <x:v>1</x:v>
      </x:c>
      <x:c r="H6" s="18">
        <x:v>0.05</x:v>
      </x:c>
      <x:c r="I6" s="13" t="s">
        <x:v>32</x:v>
      </x:c>
      <x:c r="J6" s="18">
        <x:v>1</x:v>
      </x:c>
      <x:c r="K6" s="18" t="n">
        <x:f t="shared" ref="K6:K20" si="0">H6*J6</x:f>
        <x:v>0.05</x:v>
      </x:c>
      <x:c r="L6" s="13" t="s">
        <x:v>198</x:v>
      </x:c>
      <x:c r="M6" s="13" t="s">
        <x:v>199</x:v>
      </x:c>
      <x:c r="N6" s="19" t="s">
        <x:v>200</x:v>
      </x:c>
    </x:row>
    <x:row r="7" ht="45.25" customHeight="1">
      <x:c r="A7" s="13" t="s">
        <x:v>201</x:v>
      </x:c>
      <x:c r="B7" s="13" t="s">
        <x:v>196</x:v>
      </x:c>
      <x:c r="C7" s="19" t="str">
        <x:v>Approve the project plan and illustrative target</x:v>
      </x:c>
      <x:c r="D7" s="19" t="s">
        <x:v>142</x:v>
      </x:c>
      <x:c r="E7" s="17">
        <x:v>3</x:v>
      </x:c>
      <x:c r="F7" s="17">
        <x:v>1</x:v>
      </x:c>
      <x:c r="G7" s="17">
        <x:v>1</x:v>
      </x:c>
      <x:c r="H7" s="18">
        <x:v>0.05</x:v>
      </x:c>
      <x:c r="I7" s="13" t="s">
        <x:v>32</x:v>
      </x:c>
      <x:c r="J7" s="18">
        <x:v>1</x:v>
      </x:c>
      <x:c r="K7" s="18">
        <x:f t="shared" si="0"/>
        <x:v>0.05</x:v>
      </x:c>
      <x:c r="L7" s="13" t="s">
        <x:v>195</x:v>
      </x:c>
      <x:c r="M7" s="13" t="s">
        <x:v>199</x:v>
      </x:c>
      <x:c r="N7" s="19" t="str">
        <x:v>Project goals and closeout target are set</x:v>
      </x:c>
    </x:row>
    <x:row r="8" ht="45.25" customHeight="1">
      <x:c r="A8" s="13" t="s">
        <x:v>202</x:v>
      </x:c>
      <x:c r="B8" s="13" t="s">
        <x:v>203</x:v>
      </x:c>
      <x:c r="C8" s="19" t="s">
        <x:v>204</x:v>
      </x:c>
      <x:c r="D8" s="19" t="s">
        <x:v>29</x:v>
      </x:c>
      <x:c r="E8" s="17">
        <x:v>5</x:v>
      </x:c>
      <x:c r="F8" s="17">
        <x:v>1</x:v>
      </x:c>
      <x:c r="G8" s="17">
        <x:v>2</x:v>
      </x:c>
      <x:c r="H8" s="18">
        <x:v>7.0000000000000007E-2</x:v>
      </x:c>
      <x:c r="I8" s="13" t="s">
        <x:v>32</x:v>
      </x:c>
      <x:c r="J8" s="18">
        <x:v>1</x:v>
      </x:c>
      <x:c r="K8" s="18">
        <x:f t="shared" si="0"/>
        <x:v>7.0000000000000007E-2</x:v>
      </x:c>
      <x:c r="L8" s="13" t="s">
        <x:v>195</x:v>
      </x:c>
      <x:c r="M8" s="13" t="s">
        <x:v>199</x:v>
      </x:c>
      <x:c r="N8" s="19" t="s">
        <x:v>205</x:v>
      </x:c>
    </x:row>
    <x:row r="9" ht="45.25" customHeight="1">
      <x:c r="A9" s="13" t="s">
        <x:v>206</x:v>
      </x:c>
      <x:c r="B9" s="13" t="s">
        <x:v>203</x:v>
      </x:c>
      <x:c r="C9" s="19" t="s">
        <x:v>207</x:v>
      </x:c>
      <x:c r="D9" s="19" t="s">
        <x:v>39</x:v>
      </x:c>
      <x:c r="E9" s="17">
        <x:v>7</x:v>
      </x:c>
      <x:c r="F9" s="17">
        <x:v>2</x:v>
      </x:c>
      <x:c r="G9" s="17">
        <x:v>3</x:v>
      </x:c>
      <x:c r="H9" s="18">
        <x:v>0.08</x:v>
      </x:c>
      <x:c r="I9" s="13" t="s">
        <x:v>41</x:v>
      </x:c>
      <x:c r="J9" s="18">
        <x:v>0.85</x:v>
      </x:c>
      <x:c r="K9" s="18">
        <x:f t="shared" si="0"/>
        <x:v>6.8000000000000005E-2</x:v>
      </x:c>
      <x:c r="L9" s="13" t="s">
        <x:v>202</x:v>
      </x:c>
      <x:c r="M9" s="13" t="s">
        <x:v>208</x:v>
      </x:c>
      <x:c r="N9" s="19" t="s">
        <x:v>209</x:v>
      </x:c>
    </x:row>
    <x:row r="10" ht="45.25" customHeight="1">
      <x:c r="A10" s="13" t="s">
        <x:v>210</x:v>
      </x:c>
      <x:c r="B10" s="13" t="s">
        <x:v>203</x:v>
      </x:c>
      <x:c r="C10" s="19" t="s">
        <x:v>211</x:v>
      </x:c>
      <x:c r="D10" s="19" t="s">
        <x:v>148</x:v>
      </x:c>
      <x:c r="E10" s="17">
        <x:v>6</x:v>
      </x:c>
      <x:c r="F10" s="17">
        <x:v>2</x:v>
      </x:c>
      <x:c r="G10" s="17">
        <x:v>3</x:v>
      </x:c>
      <x:c r="H10" s="18">
        <x:v>0.08</x:v>
      </x:c>
      <x:c r="I10" s="13" t="s">
        <x:v>32</x:v>
      </x:c>
      <x:c r="J10" s="18">
        <x:v>1</x:v>
      </x:c>
      <x:c r="K10" s="18">
        <x:f t="shared" si="0"/>
        <x:v>0.08</x:v>
      </x:c>
      <x:c r="L10" s="13" t="s">
        <x:v>202</x:v>
      </x:c>
      <x:c r="M10" s="13" t="s">
        <x:v>199</x:v>
      </x:c>
      <x:c r="N10" s="19" t="s">
        <x:v>212</x:v>
      </x:c>
    </x:row>
    <x:row r="11" ht="45.25" customHeight="1">
      <x:c r="A11" s="13" t="s">
        <x:v>213</x:v>
      </x:c>
      <x:c r="B11" s="13" t="s">
        <x:v>214</x:v>
      </x:c>
      <x:c r="C11" s="19" t="s">
        <x:v>215</x:v>
      </x:c>
      <x:c r="D11" s="19" t="s">
        <x:v>148</x:v>
      </x:c>
      <x:c r="E11" s="17">
        <x:v>20</x:v>
      </x:c>
      <x:c r="F11" s="17">
        <x:v>4</x:v>
      </x:c>
      <x:c r="G11" s="17">
        <x:v>7</x:v>
      </x:c>
      <x:c r="H11" s="18">
        <x:v>0.1</x:v>
      </x:c>
      <x:c r="I11" s="13" t="s">
        <x:v>51</x:v>
      </x:c>
      <x:c r="J11" s="18">
        <x:v>0.6</x:v>
      </x:c>
      <x:c r="K11" s="18">
        <x:f t="shared" si="0"/>
        <x:v>0.06</x:v>
      </x:c>
      <x:c r="L11" s="13" t="s">
        <x:v>210</x:v>
      </x:c>
      <x:c r="M11" s="13" t="s">
        <x:v>208</x:v>
      </x:c>
      <x:c r="N11" s="19" t="s">
        <x:v>216</x:v>
      </x:c>
    </x:row>
    <x:row r="12" ht="45.25" customHeight="1">
      <x:c r="A12" s="13" t="s">
        <x:v>217</x:v>
      </x:c>
      <x:c r="B12" s="13" t="s">
        <x:v>214</x:v>
      </x:c>
      <x:c r="C12" s="19" t="s">
        <x:v>218</x:v>
      </x:c>
      <x:c r="D12" s="19" t="s">
        <x:v>159</x:v>
      </x:c>
      <x:c r="E12" s="17">
        <x:v>20</x:v>
      </x:c>
      <x:c r="F12" s="17">
        <x:v>4</x:v>
      </x:c>
      <x:c r="G12" s="17">
        <x:v>8</x:v>
      </x:c>
      <x:c r="H12" s="18">
        <x:v>0.1</x:v>
      </x:c>
      <x:c r="I12" s="13" t="s">
        <x:v>41</x:v>
      </x:c>
      <x:c r="J12" s="18">
        <x:v>0.35</x:v>
      </x:c>
      <x:c r="K12" s="18">
        <x:f t="shared" si="0"/>
        <x:v>3.4999999999999996E-2</x:v>
      </x:c>
      <x:c r="L12" s="13" t="s">
        <x:v>206</x:v>
      </x:c>
      <x:c r="M12" s="13" t="s">
        <x:v>219</x:v>
      </x:c>
      <x:c r="N12" s="19" t="s">
        <x:v>220</x:v>
      </x:c>
    </x:row>
    <x:row r="13" ht="45.25" customHeight="1">
      <x:c r="A13" s="13" t="s">
        <x:v>221</x:v>
      </x:c>
      <x:c r="B13" s="13" t="s">
        <x:v>214</x:v>
      </x:c>
      <x:c r="C13" s="19" t="s">
        <x:v>222</x:v>
      </x:c>
      <x:c r="D13" s="19" t="s">
        <x:v>148</x:v>
      </x:c>
      <x:c r="E13" s="17">
        <x:v>16</x:v>
      </x:c>
      <x:c r="F13" s="17">
        <x:v>5</x:v>
      </x:c>
      <x:c r="G13" s="17">
        <x:v>8</x:v>
      </x:c>
      <x:c r="H13" s="18">
        <x:v>0.08</x:v>
      </x:c>
      <x:c r="I13" s="13" t="s">
        <x:v>51</x:v>
      </x:c>
      <x:c r="J13" s="18">
        <x:v>0.1</x:v>
      </x:c>
      <x:c r="K13" s="18">
        <x:f t="shared" si="0"/>
        <x:v>8.0000000000000002E-3</x:v>
      </x:c>
      <x:c r="L13" s="13" t="s">
        <x:v>213</x:v>
      </x:c>
      <x:c r="M13" s="13" t="s">
        <x:v>208</x:v>
      </x:c>
      <x:c r="N13" s="19" t="s">
        <x:v>223</x:v>
      </x:c>
    </x:row>
    <x:row r="14" ht="45.25" customHeight="1">
      <x:c r="A14" s="13" t="s">
        <x:v>224</x:v>
      </x:c>
      <x:c r="B14" s="13" t="s">
        <x:v>225</x:v>
      </x:c>
      <x:c r="C14" s="19" t="s">
        <x:v>226</x:v>
      </x:c>
      <x:c r="D14" s="19" t="s">
        <x:v>159</x:v>
      </x:c>
      <x:c r="E14" s="17">
        <x:v>15</x:v>
      </x:c>
      <x:c r="F14" s="17">
        <x:v>7</x:v>
      </x:c>
      <x:c r="G14" s="17">
        <x:v>9</x:v>
      </x:c>
      <x:c r="H14" s="18">
        <x:v>0.1</x:v>
      </x:c>
      <x:c r="I14" s="13" t="s">
        <x:v>70</x:v>
      </x:c>
      <x:c r="J14" s="18">
        <x:v>0</x:v>
      </x:c>
      <x:c r="K14" s="18">
        <x:f t="shared" si="0"/>
        <x:v>0</x:v>
      </x:c>
      <x:c r="L14" s="13" t="s">
        <x:v>217</x:v>
      </x:c>
      <x:c r="M14" s="13" t="s">
        <x:v>219</x:v>
      </x:c>
      <x:c r="N14" s="19" t="s">
        <x:v>227</x:v>
      </x:c>
    </x:row>
    <x:row r="15" ht="45.25" customHeight="1">
      <x:c r="A15" s="13" t="s">
        <x:v>228</x:v>
      </x:c>
      <x:c r="B15" s="13" t="s">
        <x:v>225</x:v>
      </x:c>
      <x:c r="C15" s="19" t="s">
        <x:v>229</x:v>
      </x:c>
      <x:c r="D15" s="19" t="s">
        <x:v>159</x:v>
      </x:c>
      <x:c r="E15" s="17">
        <x:v>10</x:v>
      </x:c>
      <x:c r="F15" s="17">
        <x:v>8</x:v>
      </x:c>
      <x:c r="G15" s="17">
        <x:v>9</x:v>
      </x:c>
      <x:c r="H15" s="18">
        <x:v>0.08</x:v>
      </x:c>
      <x:c r="I15" s="13" t="s">
        <x:v>70</x:v>
      </x:c>
      <x:c r="J15" s="18">
        <x:v>0</x:v>
      </x:c>
      <x:c r="K15" s="18">
        <x:f t="shared" si="0"/>
        <x:v>0</x:v>
      </x:c>
      <x:c r="L15" s="13" t="s">
        <x:v>224</x:v>
      </x:c>
      <x:c r="M15" s="13" t="s">
        <x:v>219</x:v>
      </x:c>
      <x:c r="N15" s="19" t="s">
        <x:v>230</x:v>
      </x:c>
    </x:row>
    <x:row r="16" ht="45.25" customHeight="1">
      <x:c r="A16" s="13" t="s">
        <x:v>231</x:v>
      </x:c>
      <x:c r="B16" s="13" t="s">
        <x:v>56</x:v>
      </x:c>
      <x:c r="C16" s="19" t="s">
        <x:v>232</x:v>
      </x:c>
      <x:c r="D16" s="19" t="s">
        <x:v>157</x:v>
      </x:c>
      <x:c r="E16" s="17">
        <x:v>8</x:v>
      </x:c>
      <x:c r="F16" s="17">
        <x:v>9</x:v>
      </x:c>
      <x:c r="G16" s="17">
        <x:v>10</x:v>
      </x:c>
      <x:c r="H16" s="18">
        <x:v>7.0000000000000007E-2</x:v>
      </x:c>
      <x:c r="I16" s="13" t="s">
        <x:v>70</x:v>
      </x:c>
      <x:c r="J16" s="18">
        <x:v>0</x:v>
      </x:c>
      <x:c r="K16" s="18">
        <x:f t="shared" si="0"/>
        <x:v>0</x:v>
      </x:c>
      <x:c r="L16" s="13" t="s">
        <x:v>221</x:v>
      </x:c>
      <x:c r="M16" s="13" t="s">
        <x:v>219</x:v>
      </x:c>
      <x:c r="N16" s="19" t="s">
        <x:v>233</x:v>
      </x:c>
    </x:row>
    <x:row r="17" ht="45.25" customHeight="1">
      <x:c r="A17" s="13" t="s">
        <x:v>234</x:v>
      </x:c>
      <x:c r="B17" s="13" t="s">
        <x:v>56</x:v>
      </x:c>
      <x:c r="C17" s="19" t="s">
        <x:v>235</x:v>
      </x:c>
      <x:c r="D17" s="19" t="s">
        <x:v>148</x:v>
      </x:c>
      <x:c r="E17" s="17">
        <x:v>7</x:v>
      </x:c>
      <x:c r="F17" s="17">
        <x:v>9</x:v>
      </x:c>
      <x:c r="G17" s="17">
        <x:v>10</x:v>
      </x:c>
      <x:c r="H17" s="18">
        <x:v>0.05</x:v>
      </x:c>
      <x:c r="I17" s="13" t="s">
        <x:v>70</x:v>
      </x:c>
      <x:c r="J17" s="18">
        <x:v>0</x:v>
      </x:c>
      <x:c r="K17" s="18">
        <x:f t="shared" si="0"/>
        <x:v>0</x:v>
      </x:c>
      <x:c r="L17" s="13" t="s">
        <x:v>231</x:v>
      </x:c>
      <x:c r="M17" s="13" t="s">
        <x:v>208</x:v>
      </x:c>
      <x:c r="N17" s="19" t="s">
        <x:v>236</x:v>
      </x:c>
    </x:row>
    <x:row r="18" ht="45.25" customHeight="1">
      <x:c r="A18" s="13" t="s">
        <x:v>237</x:v>
      </x:c>
      <x:c r="B18" s="13" t="s">
        <x:v>238</x:v>
      </x:c>
      <x:c r="C18" s="19" t="s">
        <x:v>239</x:v>
      </x:c>
      <x:c r="D18" s="19" t="s">
        <x:v>157</x:v>
      </x:c>
      <x:c r="E18" s="17">
        <x:v>6</x:v>
      </x:c>
      <x:c r="F18" s="17">
        <x:v>10</x:v>
      </x:c>
      <x:c r="G18" s="17">
        <x:v>11</x:v>
      </x:c>
      <x:c r="H18" s="18">
        <x:v>0.04</x:v>
      </x:c>
      <x:c r="I18" s="13" t="s">
        <x:v>70</x:v>
      </x:c>
      <x:c r="J18" s="18">
        <x:v>0</x:v>
      </x:c>
      <x:c r="K18" s="18">
        <x:f t="shared" si="0"/>
        <x:v>0</x:v>
      </x:c>
      <x:c r="L18" s="13" t="s">
        <x:v>234</x:v>
      </x:c>
      <x:c r="M18" s="13" t="s">
        <x:v>219</x:v>
      </x:c>
      <x:c r="N18" s="19" t="str">
        <x:v>This must be done before sample closeout</x:v>
      </x:c>
    </x:row>
    <x:row r="19" ht="45.25" customHeight="1">
      <x:c r="A19" s="13" t="s">
        <x:v>240</x:v>
      </x:c>
      <x:c r="B19" s="13" t="s">
        <x:v>238</x:v>
      </x:c>
      <x:c r="C19" s="19" t="str">
        <x:v>Build the sample closeout package</x:v>
      </x:c>
      <x:c r="D19" s="19" t="s">
        <x:v>29</x:v>
      </x:c>
      <x:c r="E19" s="17">
        <x:v>5</x:v>
      </x:c>
      <x:c r="F19" s="17">
        <x:v>11</x:v>
      </x:c>
      <x:c r="G19" s="17">
        <x:v>12</x:v>
      </x:c>
      <x:c r="H19" s="18">
        <x:v>0.03</x:v>
      </x:c>
      <x:c r="I19" s="13" t="s">
        <x:v>70</x:v>
      </x:c>
      <x:c r="J19" s="18">
        <x:v>0</x:v>
      </x:c>
      <x:c r="K19" s="18">
        <x:f t="shared" si="0"/>
        <x:v>0</x:v>
      </x:c>
      <x:c r="L19" s="13" t="s">
        <x:v>237</x:v>
      </x:c>
      <x:c r="M19" s="13" t="s">
        <x:v>219</x:v>
      </x:c>
      <x:c r="N19" s="19" t="str">
        <x:v>Line up project evidence, reviews, and final sample records</x:v>
      </x:c>
    </x:row>
    <x:row r="20" ht="46" customHeight="1">
      <x:c r="A20" s="13" t="s">
        <x:v>241</x:v>
      </x:c>
      <x:c r="B20" s="13" t="s">
        <x:v>66</x:v>
      </x:c>
      <x:c r="C20" s="19" t="str">
        <x:v>Close the illustrative project and capture lessons learned</x:v>
      </x:c>
      <x:c r="D20" s="19" t="s">
        <x:v>142</x:v>
      </x:c>
      <x:c r="E20" s="17">
        <x:v>4</x:v>
      </x:c>
      <x:c r="F20" s="17">
        <x:v>12</x:v>
      </x:c>
      <x:c r="G20" s="17">
        <x:v>12</x:v>
      </x:c>
      <x:c r="H20" s="18">
        <x:v>0.02</x:v>
      </x:c>
      <x:c r="I20" s="13" t="s">
        <x:v>70</x:v>
      </x:c>
      <x:c r="J20" s="18">
        <x:v>0</x:v>
      </x:c>
      <x:c r="K20" s="18">
        <x:f t="shared" si="0"/>
        <x:v>0</x:v>
      </x:c>
      <x:c r="L20" s="13" t="s">
        <x:v>240</x:v>
      </x:c>
      <x:c r="M20" s="13" t="s">
        <x:v>219</x:v>
      </x:c>
      <x:c r="N20" s="19" t="str">
        <x:v>Illustrative project closeout</x:v>
      </x:c>
    </x:row>
    <x:row r="21" ht="24" customHeight="1">
      <x:c r="A21" s="61" t="s">
        <x:v>102</x:v>
      </x:c>
      <x:c r="B21" s="61"/>
      <x:c r="C21" s="61"/>
      <x:c r="D21" s="61"/>
      <x:c r="E21" s="61"/>
      <x:c r="F21" s="61"/>
      <x:c r="G21" s="61"/>
      <x:c r="H21" s="61"/>
      <x:c r="I21" s="61"/>
      <x:c r="J21" s="61"/>
      <x:c r="K21" s="61"/>
      <x:c r="L21" s="61"/>
      <x:c r="M21" s="61"/>
      <x:c r="N21" s="61"/>
    </x:row>
  </x:sheetData>
  <x:mergeCells>
    <x:mergeCell ref="A1:N1"/>
    <x:mergeCell ref="A2:N2"/>
    <x:mergeCell ref="A3:N3"/>
    <x:mergeCell ref="A21:N21"/>
  </x:mergeCells>
  <x:conditionalFormatting sqref="I6:I20">
    <x:cfRule type="expression" dxfId="38" priority="30">
      <x:formula>OR($I6="Complete",$I6="Approved",$I6="Available",$I6="Confirmed",$I6="On Track")</x:formula>
    </x:cfRule>
    <x:cfRule type="expression" dxfId="37" priority="31">
      <x:formula>OR($I6="In Progress",$I6="Open",$I6="Watch",$I6="In Review")</x:formula>
    </x:cfRule>
    <x:cfRule type="expression" dxfId="36" priority="32">
      <x:formula>OR($I6="At Risk",$I6="Critical")</x:formula>
    </x:cfRule>
    <x:cfRule type="expression" dxfId="35" priority="33">
      <x:formula>OR($I6="Not Started",$I6="Review")</x:formula>
    </x:cfRule>
  </x:conditionalFormatting>
  <x:conditionalFormatting sqref="J6:J20">
    <x:cfRule type="dataBar" priority="28">
      <x:dataBar>
        <x:cfvo type="min"/>
        <x:cfvo type="max"/>
        <x:color rgb="FFB8946D"/>
      </x:dataBar>
    </x:cfRule>
    <x:cfRule type="dataBar" priority="29">
      <x:dataBar>
        <x:cfvo type="min"/>
        <x:cfvo type="max"/>
        <x:color rgb="FFB8946D"/>
      </x:dataBar>
    </x:cfRule>
    <x:cfRule type="dataBar" priority="34">
      <x:dataBar>
        <x:cfvo type="min"/>
        <x:cfvo type="max"/>
        <x:color rgb="FFB8946D"/>
      </x:dataBar>
      <x:extLst>
        <x:ext xmlns:x14="http://schemas.microsoft.com/office/spreadsheetml/2009/9/main" uri="{B025F937-C7B1-47D3-B67F-A62EFF666E3E}">
          <x14:id>{C4F470EC-495C-E09A-98DE-3288A7857CC6}</x14:id>
        </x:ext>
      </x:extLst>
    </x:cfRule>
  </x:conditionalFormatting>
  <x:dataValidations count="1">
    <x:dataValidation type="list" sqref="I6:I20">
      <x:formula1>"Complete,In Progress,At Risk,Not Started"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4" id="{C4F470EC-495C-E09A-98DE-3288A7857CC6}">
            <x14:dataBar>
              <x14:cfvo type="min"/>
              <x14:cfvo type="max"/>
              <x14:fillColor rgb="FFB8946D"/>
              <x14:negativeFillColor auto="1"/>
              <x14:axisColor auto="1"/>
            </x14:dataBar>
          </x14:cfRule>
          <xm:sqref>J6:J20</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baseColWidth="10" defaultColWidth="8.83203125" defaultRowHeight="14"/>
  <x:cols>
    <x:col min="1" max="1" width="14" customWidth="1"/>
    <x:col min="2" max="2" width="42" customWidth="1"/>
    <x:col min="3" max="3" width="20" customWidth="1"/>
    <x:col min="4" max="5" width="12" customWidth="1"/>
    <x:col min="6" max="6" width="14" customWidth="1"/>
    <x:col min="7" max="7" width="16" customWidth="1"/>
    <x:col min="8" max="19" width="8" customWidth="1"/>
  </x:cols>
  <x:sheetData>
    <x:row r="1" ht="36" customHeight="1">
      <x:c r="A1" s="58" t="s">
        <x:v>242</x:v>
      </x:c>
      <x:c r="B1" s="58"/>
      <x:c r="C1" s="58"/>
      <x:c r="D1" s="58"/>
      <x:c r="E1" s="58"/>
      <x:c r="F1" s="58"/>
      <x:c r="G1" s="58"/>
      <x:c r="H1" s="58"/>
      <x:c r="I1" s="58"/>
      <x:c r="J1" s="58"/>
      <x:c r="K1" s="58"/>
      <x:c r="L1" s="58"/>
      <x:c r="M1" s="58"/>
      <x:c r="N1" s="58"/>
      <x:c r="O1" s="58"/>
      <x:c r="P1" s="58"/>
      <x:c r="Q1" s="58"/>
      <x:c r="R1" s="58"/>
      <x:c r="S1" s="58"/>
    </x:row>
    <x:row r="2" ht="42" customHeight="1">
      <x:c r="A2" s="95" t="str">
        <x:v>Sample 12-week project-control plan.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59"/>
      <x:c r="K2" s="59"/>
      <x:c r="L2" s="59"/>
      <x:c r="M2" s="59"/>
      <x:c r="N2" s="59"/>
      <x:c r="O2" s="59"/>
      <x:c r="P2" s="59"/>
      <x:c r="Q2" s="59"/>
      <x:c r="R2" s="59"/>
      <x:c r="S2" s="59"/>
    </x:row>
    <x:row r="3" ht="7" customHeight="1">
      <x:c r="A3" s="66"/>
      <x:c r="B3" s="66"/>
      <x:c r="C3" s="66"/>
      <x:c r="D3" s="66"/>
      <x:c r="E3" s="66"/>
      <x:c r="F3" s="66"/>
      <x:c r="G3" s="66"/>
      <x:c r="H3" s="66"/>
      <x:c r="I3" s="66"/>
      <x:c r="J3" s="66"/>
      <x:c r="K3" s="66"/>
      <x:c r="L3" s="66"/>
      <x:c r="M3" s="66"/>
      <x:c r="N3" s="66"/>
      <x:c r="O3" s="66"/>
      <x:c r="P3" s="66"/>
      <x:c r="Q3" s="66"/>
      <x:c r="R3" s="66"/>
      <x:c r="S3" s="66"/>
    </x:row>
    <x:row r="4" ht="15">
      <x:c r="A4" s="3"/>
      <x:c r="B4" s="3"/>
      <x:c r="C4" s="3"/>
      <x:c r="D4" s="3"/>
      <x:c r="E4" s="3"/>
      <x:c r="F4" s="3"/>
      <x:c r="G4" s="3"/>
      <x:c r="H4" s="3"/>
      <x:c r="I4" s="3"/>
      <x:c r="J4" s="3"/>
      <x:c r="K4" s="3"/>
      <x:c r="L4" s="3"/>
      <x:c r="M4" s="3"/>
      <x:c r="N4" s="3"/>
      <x:c r="O4" s="3"/>
      <x:c r="P4" s="3"/>
      <x:c r="Q4" s="3"/>
      <x:c r="R4" s="3"/>
      <x:c r="S4" s="3"/>
    </x:row>
    <x:row r="5" ht="34" customHeight="1">
      <x:c r="A5" s="29" t="s">
        <x:v>185</x:v>
      </x:c>
      <x:c r="B5" s="29" t="s">
        <x:v>243</x:v>
      </x:c>
      <x:c r="C5" s="29" t="s">
        <x:v>18</x:v>
      </x:c>
      <x:c r="D5" s="29" t="s">
        <x:v>188</x:v>
      </x:c>
      <x:c r="E5" s="29" t="s">
        <x:v>189</x:v>
      </x:c>
      <x:c r="F5" s="29" t="s">
        <x:v>187</x:v>
      </x:c>
      <x:c r="G5" s="29" t="s">
        <x:v>244</x:v>
      </x:c>
      <x:c r="H5" s="31">
        <x:v>1</x:v>
      </x:c>
      <x:c r="I5" s="31">
        <x:v>2</x:v>
      </x:c>
      <x:c r="J5" s="31">
        <x:v>3</x:v>
      </x:c>
      <x:c r="K5" s="31">
        <x:v>4</x:v>
      </x:c>
      <x:c r="L5" s="31">
        <x:v>5</x:v>
      </x:c>
      <x:c r="M5" s="31">
        <x:v>6</x:v>
      </x:c>
      <x:c r="N5" s="31">
        <x:v>7</x:v>
      </x:c>
      <x:c r="O5" s="31">
        <x:v>8</x:v>
      </x:c>
      <x:c r="P5" s="31">
        <x:v>9</x:v>
      </x:c>
      <x:c r="Q5" s="31">
        <x:v>10</x:v>
      </x:c>
      <x:c r="R5" s="31">
        <x:v>11</x:v>
      </x:c>
      <x:c r="S5" s="31">
        <x:v>12</x:v>
      </x:c>
    </x:row>
    <x:row r="6" ht="37.25" customHeight="1">
      <x:c r="A6" s="13" t="s">
        <x:v>196</x:v>
      </x:c>
      <x:c r="B6" s="13" t="s">
        <x:v>245</x:v>
      </x:c>
      <x:c r="C6" s="13" t="s">
        <x:v>159</x:v>
      </x:c>
      <x:c r="D6" s="13">
        <x:v>1</x:v>
      </x:c>
      <x:c r="E6" s="13">
        <x:v>1</x:v>
      </x:c>
      <x:c r="F6" s="13">
        <x:v>5</x:v>
      </x:c>
      <x:c r="G6" s="13" t="s">
        <x:v>32</x:v>
      </x:c>
      <x:c r="H6" s="27" t="str">
        <x:f t="shared" ref="H6:S20" si="0">IF(AND(H$5&gt;=$D6,H$5&lt;=$E6),"●","")</x:f>
        <x:v>●</x:v>
      </x:c>
      <x:c r="I6" s="27" t="str">
        <x:f t="shared" si="0"/>
      </x:c>
      <x:c r="J6" s="27" t="str">
        <x:f t="shared" si="0"/>
      </x:c>
      <x:c r="K6" s="27" t="str">
        <x:f t="shared" si="0"/>
      </x:c>
      <x:c r="L6" s="27" t="str">
        <x:f t="shared" si="0"/>
      </x:c>
      <x:c r="M6" s="27" t="str">
        <x:f t="shared" si="0"/>
      </x:c>
      <x:c r="N6" s="27" t="str">
        <x:f t="shared" si="0"/>
      </x:c>
      <x:c r="O6" s="27" t="str">
        <x:f t="shared" si="0"/>
      </x:c>
      <x:c r="P6" s="27" t="str">
        <x:f t="shared" si="0"/>
      </x:c>
      <x:c r="Q6" s="27" t="str">
        <x:f t="shared" si="0"/>
      </x:c>
      <x:c r="R6" s="27" t="str">
        <x:f t="shared" si="0"/>
      </x:c>
      <x:c r="S6" s="27" t="str">
        <x:f t="shared" si="0"/>
      </x:c>
    </x:row>
    <x:row r="7" ht="37.25" customHeight="1">
      <x:c r="A7" s="13" t="s">
        <x:v>196</x:v>
      </x:c>
      <x:c r="B7" s="13" t="s">
        <x:v>246</x:v>
      </x:c>
      <x:c r="C7" s="13" t="s">
        <x:v>142</x:v>
      </x:c>
      <x:c r="D7" s="13">
        <x:v>1</x:v>
      </x:c>
      <x:c r="E7" s="13">
        <x:v>1</x:v>
      </x:c>
      <x:c r="F7" s="13">
        <x:v>3</x:v>
      </x:c>
      <x:c r="G7" s="13" t="s">
        <x:v>32</x:v>
      </x:c>
      <x:c r="H7" s="27" t="str">
        <x:f t="shared" si="0"/>
        <x:v>●</x:v>
      </x:c>
      <x:c r="I7" s="27" t="str">
        <x:f t="shared" si="0"/>
      </x:c>
      <x:c r="J7" s="27" t="str">
        <x:f t="shared" si="0"/>
      </x:c>
      <x:c r="K7" s="27" t="str">
        <x:f t="shared" si="0"/>
      </x:c>
      <x:c r="L7" s="27" t="str">
        <x:f t="shared" si="0"/>
      </x:c>
      <x:c r="M7" s="27" t="str">
        <x:f t="shared" si="0"/>
      </x:c>
      <x:c r="N7" s="27" t="str">
        <x:f t="shared" si="0"/>
      </x:c>
      <x:c r="O7" s="27" t="str">
        <x:f t="shared" si="0"/>
      </x:c>
      <x:c r="P7" s="27" t="str">
        <x:f t="shared" si="0"/>
      </x:c>
      <x:c r="Q7" s="27" t="str">
        <x:f t="shared" si="0"/>
      </x:c>
      <x:c r="R7" s="27" t="str">
        <x:f t="shared" si="0"/>
      </x:c>
      <x:c r="S7" s="27" t="str">
        <x:f t="shared" si="0"/>
      </x:c>
    </x:row>
    <x:row r="8" ht="37.25" customHeight="1">
      <x:c r="A8" s="13" t="s">
        <x:v>203</x:v>
      </x:c>
      <x:c r="B8" s="13" t="s">
        <x:v>247</x:v>
      </x:c>
      <x:c r="C8" s="13" t="s">
        <x:v>29</x:v>
      </x:c>
      <x:c r="D8" s="13">
        <x:v>1</x:v>
      </x:c>
      <x:c r="E8" s="13">
        <x:v>2</x:v>
      </x:c>
      <x:c r="F8" s="13">
        <x:v>5</x:v>
      </x:c>
      <x:c r="G8" s="13" t="s">
        <x:v>32</x:v>
      </x:c>
      <x:c r="H8" s="27" t="str">
        <x:f t="shared" si="0"/>
        <x:v>●</x:v>
      </x:c>
      <x:c r="I8" s="27" t="str">
        <x:f t="shared" si="0"/>
        <x:v>●</x:v>
      </x:c>
      <x:c r="J8" s="27" t="str">
        <x:f t="shared" si="0"/>
      </x:c>
      <x:c r="K8" s="27" t="str">
        <x:f t="shared" si="0"/>
      </x:c>
      <x:c r="L8" s="27" t="str">
        <x:f t="shared" si="0"/>
      </x:c>
      <x:c r="M8" s="27" t="str">
        <x:f t="shared" si="0"/>
      </x:c>
      <x:c r="N8" s="27" t="str">
        <x:f t="shared" si="0"/>
      </x:c>
      <x:c r="O8" s="27" t="str">
        <x:f t="shared" si="0"/>
      </x:c>
      <x:c r="P8" s="27" t="str">
        <x:f t="shared" si="0"/>
      </x:c>
      <x:c r="Q8" s="27" t="str">
        <x:f t="shared" si="0"/>
      </x:c>
      <x:c r="R8" s="27" t="str">
        <x:f t="shared" si="0"/>
      </x:c>
      <x:c r="S8" s="27" t="str">
        <x:f t="shared" si="0"/>
      </x:c>
    </x:row>
    <x:row r="9" ht="37.25" customHeight="1">
      <x:c r="A9" s="13" t="s">
        <x:v>203</x:v>
      </x:c>
      <x:c r="B9" s="13" t="s">
        <x:v>248</x:v>
      </x:c>
      <x:c r="C9" s="13" t="s">
        <x:v>39</x:v>
      </x:c>
      <x:c r="D9" s="13">
        <x:v>2</x:v>
      </x:c>
      <x:c r="E9" s="13">
        <x:v>3</x:v>
      </x:c>
      <x:c r="F9" s="13">
        <x:v>7</x:v>
      </x:c>
      <x:c r="G9" s="13" t="s">
        <x:v>41</x:v>
      </x:c>
      <x:c r="H9" s="27" t="str">
        <x:f t="shared" si="0"/>
      </x:c>
      <x:c r="I9" s="27" t="str">
        <x:f t="shared" si="0"/>
        <x:v>●</x:v>
      </x:c>
      <x:c r="J9" s="27" t="str">
        <x:f t="shared" si="0"/>
        <x:v>●</x:v>
      </x:c>
      <x:c r="K9" s="27" t="str">
        <x:f t="shared" si="0"/>
      </x:c>
      <x:c r="L9" s="27" t="str">
        <x:f t="shared" si="0"/>
      </x:c>
      <x:c r="M9" s="27" t="str">
        <x:f t="shared" si="0"/>
      </x:c>
      <x:c r="N9" s="27" t="str">
        <x:f t="shared" si="0"/>
      </x:c>
      <x:c r="O9" s="27" t="str">
        <x:f t="shared" si="0"/>
      </x:c>
      <x:c r="P9" s="27" t="str">
        <x:f t="shared" si="0"/>
      </x:c>
      <x:c r="Q9" s="27" t="str">
        <x:f t="shared" si="0"/>
      </x:c>
      <x:c r="R9" s="27" t="str">
        <x:f t="shared" si="0"/>
      </x:c>
      <x:c r="S9" s="27" t="str">
        <x:f t="shared" si="0"/>
      </x:c>
    </x:row>
    <x:row r="10" ht="37.25" customHeight="1">
      <x:c r="A10" s="13" t="s">
        <x:v>203</x:v>
      </x:c>
      <x:c r="B10" s="13" t="s">
        <x:v>249</x:v>
      </x:c>
      <x:c r="C10" s="13" t="s">
        <x:v>148</x:v>
      </x:c>
      <x:c r="D10" s="13">
        <x:v>2</x:v>
      </x:c>
      <x:c r="E10" s="13">
        <x:v>3</x:v>
      </x:c>
      <x:c r="F10" s="13">
        <x:v>6</x:v>
      </x:c>
      <x:c r="G10" s="13" t="s">
        <x:v>32</x:v>
      </x:c>
      <x:c r="H10" s="27" t="str">
        <x:f t="shared" si="0"/>
      </x:c>
      <x:c r="I10" s="27" t="str">
        <x:f t="shared" si="0"/>
        <x:v>●</x:v>
      </x:c>
      <x:c r="J10" s="27" t="str">
        <x:f t="shared" si="0"/>
        <x:v>●</x:v>
      </x:c>
      <x:c r="K10" s="27" t="str">
        <x:f t="shared" si="0"/>
      </x:c>
      <x:c r="L10" s="27" t="str">
        <x:f t="shared" si="0"/>
      </x:c>
      <x:c r="M10" s="27" t="str">
        <x:f t="shared" si="0"/>
      </x:c>
      <x:c r="N10" s="27" t="str">
        <x:f t="shared" si="0"/>
      </x:c>
      <x:c r="O10" s="27" t="str">
        <x:f t="shared" si="0"/>
      </x:c>
      <x:c r="P10" s="27" t="str">
        <x:f t="shared" si="0"/>
      </x:c>
      <x:c r="Q10" s="27" t="str">
        <x:f t="shared" si="0"/>
      </x:c>
      <x:c r="R10" s="27" t="str">
        <x:f t="shared" si="0"/>
      </x:c>
      <x:c r="S10" s="27" t="str">
        <x:f t="shared" si="0"/>
      </x:c>
    </x:row>
    <x:row r="11" ht="37.25" customHeight="1">
      <x:c r="A11" s="13" t="s">
        <x:v>214</x:v>
      </x:c>
      <x:c r="B11" s="13" t="s">
        <x:v>215</x:v>
      </x:c>
      <x:c r="C11" s="13" t="s">
        <x:v>148</x:v>
      </x:c>
      <x:c r="D11" s="13">
        <x:v>4</x:v>
      </x:c>
      <x:c r="E11" s="13">
        <x:v>7</x:v>
      </x:c>
      <x:c r="F11" s="13">
        <x:v>20</x:v>
      </x:c>
      <x:c r="G11" s="13" t="s">
        <x:v>51</x:v>
      </x:c>
      <x:c r="H11" s="27" t="str">
        <x:f t="shared" si="0"/>
      </x:c>
      <x:c r="I11" s="27" t="str">
        <x:f t="shared" si="0"/>
      </x:c>
      <x:c r="J11" s="27" t="str">
        <x:f t="shared" si="0"/>
      </x:c>
      <x:c r="K11" s="27" t="str">
        <x:f t="shared" si="0"/>
        <x:v>●</x:v>
      </x:c>
      <x:c r="L11" s="27" t="str">
        <x:f t="shared" si="0"/>
        <x:v>●</x:v>
      </x:c>
      <x:c r="M11" s="27" t="str">
        <x:f t="shared" si="0"/>
        <x:v>●</x:v>
      </x:c>
      <x:c r="N11" s="27" t="str">
        <x:f t="shared" si="0"/>
        <x:v>●</x:v>
      </x:c>
      <x:c r="O11" s="27" t="str">
        <x:f t="shared" si="0"/>
      </x:c>
      <x:c r="P11" s="27" t="str">
        <x:f t="shared" si="0"/>
      </x:c>
      <x:c r="Q11" s="27" t="str">
        <x:f t="shared" si="0"/>
      </x:c>
      <x:c r="R11" s="27" t="str">
        <x:f t="shared" si="0"/>
      </x:c>
      <x:c r="S11" s="27" t="str">
        <x:f t="shared" si="0"/>
      </x:c>
    </x:row>
    <x:row r="12" ht="37.25" customHeight="1">
      <x:c r="A12" s="13" t="s">
        <x:v>214</x:v>
      </x:c>
      <x:c r="B12" s="13" t="s">
        <x:v>218</x:v>
      </x:c>
      <x:c r="C12" s="13" t="s">
        <x:v>159</x:v>
      </x:c>
      <x:c r="D12" s="13">
        <x:v>4</x:v>
      </x:c>
      <x:c r="E12" s="13">
        <x:v>8</x:v>
      </x:c>
      <x:c r="F12" s="13">
        <x:v>20</x:v>
      </x:c>
      <x:c r="G12" s="13" t="s">
        <x:v>41</x:v>
      </x:c>
      <x:c r="H12" s="27" t="str">
        <x:f t="shared" si="0"/>
      </x:c>
      <x:c r="I12" s="27" t="str">
        <x:f t="shared" si="0"/>
      </x:c>
      <x:c r="J12" s="27" t="str">
        <x:f t="shared" si="0"/>
      </x:c>
      <x:c r="K12" s="27" t="str">
        <x:f t="shared" si="0"/>
        <x:v>●</x:v>
      </x:c>
      <x:c r="L12" s="27" t="str">
        <x:f t="shared" si="0"/>
        <x:v>●</x:v>
      </x:c>
      <x:c r="M12" s="27" t="str">
        <x:f t="shared" si="0"/>
        <x:v>●</x:v>
      </x:c>
      <x:c r="N12" s="27" t="str">
        <x:f t="shared" si="0"/>
        <x:v>●</x:v>
      </x:c>
      <x:c r="O12" s="27" t="str">
        <x:f t="shared" si="0"/>
        <x:v>●</x:v>
      </x:c>
      <x:c r="P12" s="27" t="str">
        <x:f t="shared" si="0"/>
      </x:c>
      <x:c r="Q12" s="27" t="str">
        <x:f t="shared" si="0"/>
      </x:c>
      <x:c r="R12" s="27" t="str">
        <x:f t="shared" si="0"/>
      </x:c>
      <x:c r="S12" s="27" t="str">
        <x:f t="shared" si="0"/>
      </x:c>
    </x:row>
    <x:row r="13" ht="37.25" customHeight="1">
      <x:c r="A13" s="13" t="s">
        <x:v>214</x:v>
      </x:c>
      <x:c r="B13" s="13" t="s">
        <x:v>222</x:v>
      </x:c>
      <x:c r="C13" s="13" t="s">
        <x:v>148</x:v>
      </x:c>
      <x:c r="D13" s="13">
        <x:v>5</x:v>
      </x:c>
      <x:c r="E13" s="13">
        <x:v>8</x:v>
      </x:c>
      <x:c r="F13" s="13">
        <x:v>16</x:v>
      </x:c>
      <x:c r="G13" s="13" t="s">
        <x:v>51</x:v>
      </x:c>
      <x:c r="H13" s="27" t="str">
        <x:f t="shared" si="0"/>
      </x:c>
      <x:c r="I13" s="27" t="str">
        <x:f t="shared" si="0"/>
      </x:c>
      <x:c r="J13" s="27" t="str">
        <x:f t="shared" si="0"/>
      </x:c>
      <x:c r="K13" s="27" t="str">
        <x:f t="shared" si="0"/>
      </x:c>
      <x:c r="L13" s="27" t="str">
        <x:f t="shared" si="0"/>
        <x:v>●</x:v>
      </x:c>
      <x:c r="M13" s="27" t="str">
        <x:f t="shared" si="0"/>
        <x:v>●</x:v>
      </x:c>
      <x:c r="N13" s="27" t="str">
        <x:f t="shared" si="0"/>
        <x:v>●</x:v>
      </x:c>
      <x:c r="O13" s="27" t="str">
        <x:f t="shared" si="0"/>
        <x:v>●</x:v>
      </x:c>
      <x:c r="P13" s="27" t="str">
        <x:f t="shared" si="0"/>
      </x:c>
      <x:c r="Q13" s="27" t="str">
        <x:f t="shared" si="0"/>
      </x:c>
      <x:c r="R13" s="27" t="str">
        <x:f t="shared" si="0"/>
      </x:c>
      <x:c r="S13" s="27" t="str">
        <x:f t="shared" si="0"/>
      </x:c>
    </x:row>
    <x:row r="14" ht="37.25" customHeight="1">
      <x:c r="A14" s="13" t="s">
        <x:v>225</x:v>
      </x:c>
      <x:c r="B14" s="13" t="s">
        <x:v>226</x:v>
      </x:c>
      <x:c r="C14" s="13" t="s">
        <x:v>159</x:v>
      </x:c>
      <x:c r="D14" s="13">
        <x:v>7</x:v>
      </x:c>
      <x:c r="E14" s="13">
        <x:v>9</x:v>
      </x:c>
      <x:c r="F14" s="13">
        <x:v>15</x:v>
      </x:c>
      <x:c r="G14" s="13" t="s">
        <x:v>70</x:v>
      </x:c>
      <x:c r="H14" s="27" t="str">
        <x:f t="shared" si="0"/>
      </x:c>
      <x:c r="I14" s="27" t="str">
        <x:f t="shared" si="0"/>
      </x:c>
      <x:c r="J14" s="27" t="str">
        <x:f t="shared" si="0"/>
      </x:c>
      <x:c r="K14" s="27" t="str">
        <x:f t="shared" si="0"/>
      </x:c>
      <x:c r="L14" s="27" t="str">
        <x:f t="shared" si="0"/>
      </x:c>
      <x:c r="M14" s="27" t="str">
        <x:f t="shared" si="0"/>
      </x:c>
      <x:c r="N14" s="27" t="str">
        <x:f t="shared" si="0"/>
        <x:v>●</x:v>
      </x:c>
      <x:c r="O14" s="27" t="str">
        <x:f t="shared" si="0"/>
        <x:v>●</x:v>
      </x:c>
      <x:c r="P14" s="27" t="str">
        <x:f t="shared" si="0"/>
        <x:v>●</x:v>
      </x:c>
      <x:c r="Q14" s="27" t="str">
        <x:f t="shared" si="0"/>
      </x:c>
      <x:c r="R14" s="27" t="str">
        <x:f t="shared" si="0"/>
      </x:c>
      <x:c r="S14" s="27" t="str">
        <x:f t="shared" si="0"/>
      </x:c>
    </x:row>
    <x:row r="15" ht="37.25" customHeight="1">
      <x:c r="A15" s="13" t="s">
        <x:v>225</x:v>
      </x:c>
      <x:c r="B15" s="13" t="s">
        <x:v>250</x:v>
      </x:c>
      <x:c r="C15" s="13" t="s">
        <x:v>159</x:v>
      </x:c>
      <x:c r="D15" s="13">
        <x:v>8</x:v>
      </x:c>
      <x:c r="E15" s="13">
        <x:v>9</x:v>
      </x:c>
      <x:c r="F15" s="13">
        <x:v>10</x:v>
      </x:c>
      <x:c r="G15" s="13" t="s">
        <x:v>70</x:v>
      </x:c>
      <x:c r="H15" s="27" t="str">
        <x:f t="shared" si="0"/>
      </x:c>
      <x:c r="I15" s="27" t="str">
        <x:f t="shared" si="0"/>
      </x:c>
      <x:c r="J15" s="27" t="str">
        <x:f t="shared" si="0"/>
      </x:c>
      <x:c r="K15" s="27" t="str">
        <x:f t="shared" si="0"/>
      </x:c>
      <x:c r="L15" s="27" t="str">
        <x:f t="shared" si="0"/>
      </x:c>
      <x:c r="M15" s="27" t="str">
        <x:f t="shared" si="0"/>
      </x:c>
      <x:c r="N15" s="27" t="str">
        <x:f t="shared" si="0"/>
      </x:c>
      <x:c r="O15" s="27" t="str">
        <x:f t="shared" si="0"/>
        <x:v>●</x:v>
      </x:c>
      <x:c r="P15" s="27" t="str">
        <x:f t="shared" si="0"/>
        <x:v>●</x:v>
      </x:c>
      <x:c r="Q15" s="27" t="str">
        <x:f t="shared" si="0"/>
      </x:c>
      <x:c r="R15" s="27" t="str">
        <x:f t="shared" si="0"/>
      </x:c>
      <x:c r="S15" s="27" t="str">
        <x:f t="shared" si="0"/>
      </x:c>
    </x:row>
    <x:row r="16" ht="37.25" customHeight="1">
      <x:c r="A16" s="13" t="s">
        <x:v>56</x:v>
      </x:c>
      <x:c r="B16" s="13" t="s">
        <x:v>251</x:v>
      </x:c>
      <x:c r="C16" s="13" t="s">
        <x:v>157</x:v>
      </x:c>
      <x:c r="D16" s="13">
        <x:v>9</x:v>
      </x:c>
      <x:c r="E16" s="13">
        <x:v>10</x:v>
      </x:c>
      <x:c r="F16" s="13">
        <x:v>8</x:v>
      </x:c>
      <x:c r="G16" s="13" t="s">
        <x:v>70</x:v>
      </x:c>
      <x:c r="H16" s="27" t="str">
        <x:f t="shared" si="0"/>
      </x:c>
      <x:c r="I16" s="27" t="str">
        <x:f t="shared" si="0"/>
      </x:c>
      <x:c r="J16" s="27" t="str">
        <x:f t="shared" si="0"/>
      </x:c>
      <x:c r="K16" s="27" t="str">
        <x:f t="shared" si="0"/>
      </x:c>
      <x:c r="L16" s="27" t="str">
        <x:f t="shared" si="0"/>
      </x:c>
      <x:c r="M16" s="27" t="str">
        <x:f t="shared" si="0"/>
      </x:c>
      <x:c r="N16" s="27" t="str">
        <x:f t="shared" si="0"/>
      </x:c>
      <x:c r="O16" s="27" t="str">
        <x:f t="shared" si="0"/>
      </x:c>
      <x:c r="P16" s="27" t="str">
        <x:f t="shared" si="0"/>
        <x:v>●</x:v>
      </x:c>
      <x:c r="Q16" s="27" t="str">
        <x:f t="shared" si="0"/>
        <x:v>●</x:v>
      </x:c>
      <x:c r="R16" s="27" t="str">
        <x:f t="shared" si="0"/>
      </x:c>
      <x:c r="S16" s="27" t="str">
        <x:f t="shared" si="0"/>
      </x:c>
    </x:row>
    <x:row r="17" ht="37.25" customHeight="1">
      <x:c r="A17" s="13" t="s">
        <x:v>56</x:v>
      </x:c>
      <x:c r="B17" s="13" t="s">
        <x:v>252</x:v>
      </x:c>
      <x:c r="C17" s="13" t="s">
        <x:v>148</x:v>
      </x:c>
      <x:c r="D17" s="13">
        <x:v>9</x:v>
      </x:c>
      <x:c r="E17" s="13">
        <x:v>10</x:v>
      </x:c>
      <x:c r="F17" s="13">
        <x:v>7</x:v>
      </x:c>
      <x:c r="G17" s="13" t="s">
        <x:v>70</x:v>
      </x:c>
      <x:c r="H17" s="27" t="str">
        <x:f t="shared" si="0"/>
      </x:c>
      <x:c r="I17" s="27" t="str">
        <x:f t="shared" si="0"/>
      </x:c>
      <x:c r="J17" s="27" t="str">
        <x:f t="shared" si="0"/>
      </x:c>
      <x:c r="K17" s="27" t="str">
        <x:f t="shared" si="0"/>
      </x:c>
      <x:c r="L17" s="27" t="str">
        <x:f t="shared" si="0"/>
      </x:c>
      <x:c r="M17" s="27" t="str">
        <x:f t="shared" si="0"/>
      </x:c>
      <x:c r="N17" s="27" t="str">
        <x:f t="shared" si="0"/>
      </x:c>
      <x:c r="O17" s="27" t="str">
        <x:f t="shared" si="0"/>
      </x:c>
      <x:c r="P17" s="27" t="str">
        <x:f t="shared" si="0"/>
        <x:v>●</x:v>
      </x:c>
      <x:c r="Q17" s="27" t="str">
        <x:f t="shared" si="0"/>
        <x:v>●</x:v>
      </x:c>
      <x:c r="R17" s="27" t="str">
        <x:f t="shared" si="0"/>
      </x:c>
      <x:c r="S17" s="27" t="str">
        <x:f t="shared" si="0"/>
      </x:c>
    </x:row>
    <x:row r="18" ht="37.25" customHeight="1">
      <x:c r="A18" s="13" t="s">
        <x:v>238</x:v>
      </x:c>
      <x:c r="B18" s="13" t="s">
        <x:v>239</x:v>
      </x:c>
      <x:c r="C18" s="13" t="s">
        <x:v>157</x:v>
      </x:c>
      <x:c r="D18" s="13">
        <x:v>10</x:v>
      </x:c>
      <x:c r="E18" s="13">
        <x:v>11</x:v>
      </x:c>
      <x:c r="F18" s="13">
        <x:v>6</x:v>
      </x:c>
      <x:c r="G18" s="13" t="s">
        <x:v>70</x:v>
      </x:c>
      <x:c r="H18" s="27" t="str">
        <x:f t="shared" si="0"/>
      </x:c>
      <x:c r="I18" s="27" t="str">
        <x:f t="shared" si="0"/>
      </x:c>
      <x:c r="J18" s="27" t="str">
        <x:f t="shared" si="0"/>
      </x:c>
      <x:c r="K18" s="27" t="str">
        <x:f t="shared" si="0"/>
      </x:c>
      <x:c r="L18" s="27" t="str">
        <x:f t="shared" si="0"/>
      </x:c>
      <x:c r="M18" s="27" t="str">
        <x:f t="shared" si="0"/>
      </x:c>
      <x:c r="N18" s="27" t="str">
        <x:f t="shared" si="0"/>
      </x:c>
      <x:c r="O18" s="27" t="str">
        <x:f t="shared" si="0"/>
      </x:c>
      <x:c r="P18" s="27" t="str">
        <x:f t="shared" si="0"/>
      </x:c>
      <x:c r="Q18" s="27" t="str">
        <x:f t="shared" si="0"/>
        <x:v>●</x:v>
      </x:c>
      <x:c r="R18" s="27" t="str">
        <x:f t="shared" si="0"/>
        <x:v>●</x:v>
      </x:c>
      <x:c r="S18" s="27" t="str">
        <x:f t="shared" si="0"/>
      </x:c>
    </x:row>
    <x:row r="19" ht="37.25" customHeight="1">
      <x:c r="A19" s="13" t="s">
        <x:v>238</x:v>
      </x:c>
      <x:c r="B19" s="13" t="str">
        <x:v>Prepare sample closeout package</x:v>
      </x:c>
      <x:c r="C19" s="13" t="s">
        <x:v>29</x:v>
      </x:c>
      <x:c r="D19" s="13">
        <x:v>11</x:v>
      </x:c>
      <x:c r="E19" s="13">
        <x:v>12</x:v>
      </x:c>
      <x:c r="F19" s="13">
        <x:v>5</x:v>
      </x:c>
      <x:c r="G19" s="13" t="s">
        <x:v>70</x:v>
      </x:c>
      <x:c r="H19" s="27" t="str">
        <x:f t="shared" si="0"/>
      </x:c>
      <x:c r="I19" s="27" t="str">
        <x:f t="shared" si="0"/>
      </x:c>
      <x:c r="J19" s="27" t="str">
        <x:f t="shared" si="0"/>
      </x:c>
      <x:c r="K19" s="27" t="str">
        <x:f t="shared" si="0"/>
      </x:c>
      <x:c r="L19" s="27" t="str">
        <x:f t="shared" si="0"/>
      </x:c>
      <x:c r="M19" s="27" t="str">
        <x:f t="shared" si="0"/>
      </x:c>
      <x:c r="N19" s="27" t="str">
        <x:f t="shared" si="0"/>
      </x:c>
      <x:c r="O19" s="27" t="str">
        <x:f t="shared" si="0"/>
      </x:c>
      <x:c r="P19" s="27" t="str">
        <x:f t="shared" si="0"/>
      </x:c>
      <x:c r="Q19" s="27" t="str">
        <x:f t="shared" si="0"/>
      </x:c>
      <x:c r="R19" s="27" t="str">
        <x:f t="shared" si="0"/>
        <x:v>●</x:v>
      </x:c>
      <x:c r="S19" s="27" t="str">
        <x:f t="shared" si="0"/>
        <x:v>●</x:v>
      </x:c>
    </x:row>
    <x:row r="20" ht="37.25" customHeight="1">
      <x:c r="A20" s="13" t="s">
        <x:v>66</x:v>
      </x:c>
      <x:c r="B20" s="13" t="str">
        <x:v>Illustrative project closeout and lessons learned</x:v>
      </x:c>
      <x:c r="C20" s="13" t="s">
        <x:v>142</x:v>
      </x:c>
      <x:c r="D20" s="13">
        <x:v>12</x:v>
      </x:c>
      <x:c r="E20" s="13">
        <x:v>12</x:v>
      </x:c>
      <x:c r="F20" s="13">
        <x:v>4</x:v>
      </x:c>
      <x:c r="G20" s="13" t="s">
        <x:v>70</x:v>
      </x:c>
      <x:c r="H20" s="27" t="str">
        <x:f t="shared" si="0"/>
      </x:c>
      <x:c r="I20" s="27" t="str">
        <x:f t="shared" si="0"/>
      </x:c>
      <x:c r="J20" s="27" t="str">
        <x:f t="shared" si="0"/>
      </x:c>
      <x:c r="K20" s="27" t="str">
        <x:f t="shared" si="0"/>
      </x:c>
      <x:c r="L20" s="27" t="str">
        <x:f t="shared" si="0"/>
      </x:c>
      <x:c r="M20" s="27" t="str">
        <x:f t="shared" si="0"/>
      </x:c>
      <x:c r="N20" s="27" t="str">
        <x:f t="shared" si="0"/>
      </x:c>
      <x:c r="O20" s="27" t="str">
        <x:f t="shared" si="0"/>
      </x:c>
      <x:c r="P20" s="27" t="str">
        <x:f t="shared" si="0"/>
      </x:c>
      <x:c r="Q20" s="27" t="str">
        <x:f t="shared" si="0"/>
      </x:c>
      <x:c r="R20" s="27" t="str">
        <x:f t="shared" si="0"/>
      </x:c>
      <x:c r="S20" s="27" t="str">
        <x:f t="shared" si="0"/>
        <x:v>●</x:v>
      </x:c>
    </x:row>
    <x:row r="21" ht="24" customHeight="1">
      <x:c r="A21" s="61" t="s">
        <x:v>102</x:v>
      </x:c>
      <x:c r="B21" s="61"/>
      <x:c r="C21" s="61"/>
      <x:c r="D21" s="61"/>
      <x:c r="E21" s="61"/>
      <x:c r="F21" s="61"/>
      <x:c r="G21" s="61"/>
      <x:c r="H21" s="61"/>
      <x:c r="I21" s="61"/>
      <x:c r="J21" s="61"/>
      <x:c r="K21" s="61"/>
      <x:c r="L21" s="61"/>
      <x:c r="M21" s="61"/>
      <x:c r="N21" s="61"/>
      <x:c r="O21" s="61"/>
      <x:c r="P21" s="61"/>
      <x:c r="Q21" s="61"/>
      <x:c r="R21" s="61"/>
      <x:c r="S21" s="61"/>
    </x:row>
  </x:sheetData>
  <x:mergeCells>
    <x:mergeCell ref="A1:S1"/>
    <x:mergeCell ref="A2:S2"/>
    <x:mergeCell ref="A3:S3"/>
    <x:mergeCell ref="A21:S21"/>
  </x:mergeCells>
  <x:conditionalFormatting sqref="G6:G20">
    <x:cfRule type="expression" dxfId="34" priority="31">
      <x:formula>OR($G6="Complete",$G6="Approved",$G6="Available",$G6="Confirmed",$G6="On Track")</x:formula>
    </x:cfRule>
    <x:cfRule type="expression" dxfId="33" priority="32">
      <x:formula>OR($G6="In Progress",$G6="Open",$G6="Watch",$G6="In Review")</x:formula>
    </x:cfRule>
    <x:cfRule type="expression" dxfId="32" priority="33">
      <x:formula>OR($G6="At Risk",$G6="Critical")</x:formula>
    </x:cfRule>
    <x:cfRule type="expression" dxfId="31" priority="34">
      <x:formula>OR($G6="Not Started",$G6="Review")</x:formula>
    </x:cfRule>
  </x:conditionalFormatting>
  <x:conditionalFormatting sqref="H6:S20">
    <x:cfRule type="expression" dxfId="30" priority="30">
      <x:formula>H6="●"</x:formula>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4"/>
  <x:cols>
    <x:col min="1" max="1" width="32" customWidth="1"/>
    <x:col min="2" max="2" width="19" customWidth="1"/>
    <x:col min="3" max="3" width="20" customWidth="1"/>
    <x:col min="4" max="4" width="24" customWidth="1"/>
    <x:col min="5" max="5" width="20" customWidth="1"/>
    <x:col min="6" max="6" width="16" customWidth="1"/>
    <x:col min="7" max="7" width="18" customWidth="1"/>
    <x:col min="8" max="8" width="4" customWidth="1"/>
    <x:col min="9" max="10" width="18" customWidth="1"/>
  </x:cols>
  <x:sheetData>
    <x:row r="1" ht="36" customHeight="1">
      <x:c r="A1" s="58" t="s">
        <x:v>253</x:v>
      </x:c>
      <x:c r="B1" s="58"/>
      <x:c r="C1" s="58"/>
      <x:c r="D1" s="58"/>
      <x:c r="E1" s="58"/>
      <x:c r="F1" s="58"/>
      <x:c r="G1" s="58"/>
      <x:c r="H1" s="58"/>
      <x:c r="I1" s="58"/>
      <x:c r="J1" s="70"/>
    </x:row>
    <x:row r="2" ht="42" customHeight="1">
      <x:c r="A2" s="95" t="str">
        <x:v>Sample budget and forecast using fictional amounts.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71"/>
    </x:row>
    <x:row r="3" ht="7" customHeight="1">
      <x:c r="A3" s="66"/>
      <x:c r="B3" s="66"/>
      <x:c r="C3" s="66"/>
      <x:c r="D3" s="66"/>
      <x:c r="E3" s="66"/>
      <x:c r="F3" s="66"/>
      <x:c r="G3" s="66"/>
      <x:c r="H3" s="66"/>
      <x:c r="I3" s="66"/>
      <x:c r="J3" s="72"/>
    </x:row>
    <x:row r="4" ht="15">
      <x:c r="A4" s="3"/>
      <x:c r="B4" s="3"/>
      <x:c r="C4" s="3"/>
      <x:c r="D4" s="3"/>
      <x:c r="E4" s="3"/>
      <x:c r="F4" s="3"/>
      <x:c r="G4" s="3"/>
      <x:c r="H4" s="3"/>
      <x:c r="I4" s="3"/>
      <x:c r="J4" s="3"/>
    </x:row>
    <x:row r="5" ht="24" customHeight="1">
      <x:c r="A5" s="55" t="s">
        <x:v>95</x:v>
      </x:c>
      <x:c r="B5" s="55"/>
      <x:c r="C5" s="55" t="s">
        <x:v>3</x:v>
      </x:c>
      <x:c r="D5" s="55"/>
      <x:c r="E5" s="55" t="s">
        <x:v>100</x:v>
      </x:c>
      <x:c r="F5" s="55"/>
      <x:c r="G5" s="55" t="s">
        <x:v>101</x:v>
      </x:c>
      <x:c r="H5" s="55"/>
      <x:c r="I5" s="55" t="s">
        <x:v>254</x:v>
      </x:c>
      <x:c r="J5" s="67"/>
    </x:row>
    <x:row r="6" ht="37.25" customHeight="1">
      <x:c r="A6" s="74" t="n">
        <x:f>SUM(B11:B16)</x:f>
        <x:v>600000</x:v>
      </x:c>
      <x:c r="B6" s="74"/>
      <x:c r="C6" s="74" t="n">
        <x:f>SUM(C11:C16)</x:f>
        <x:v>252000</x:v>
      </x:c>
      <x:c r="D6" s="74"/>
      <x:c r="E6" s="74" t="n">
        <x:f>SUM(D11:D16)</x:f>
        <x:v>585000</x:v>
      </x:c>
      <x:c r="F6" s="74"/>
      <x:c r="G6" s="74" t="n">
        <x:f>SUM(E11:E16)</x:f>
        <x:v>15000</x:v>
      </x:c>
      <x:c r="H6" s="74"/>
      <x:c r="I6" s="101" t="str">
        <x:f>IF(E18&lt;0,"At Risk",IF(E18/B18&lt;=5%,"Watch","On Track"))</x:f>
        <x:v>Watch</x:v>
      </x:c>
      <x:c r="J6" s="68"/>
    </x:row>
    <x:row r="7" ht="37.25" customHeight="1">
      <x:c r="A7" s="57" t="s">
        <x:v>255</x:v>
      </x:c>
      <x:c r="B7" s="57"/>
      <x:c r="C7" s="57" t="s">
        <x:v>256</x:v>
      </x:c>
      <x:c r="D7" s="57"/>
      <x:c r="E7" s="57" t="s">
        <x:v>257</x:v>
      </x:c>
      <x:c r="F7" s="57"/>
      <x:c r="G7" s="57" t="s">
        <x:v>258</x:v>
      </x:c>
      <x:c r="H7" s="57"/>
      <x:c r="I7" s="57" t="s">
        <x:v>259</x:v>
      </x:c>
      <x:c r="J7" s="69"/>
    </x:row>
    <x:row r="8" ht="15">
      <x:c r="A8" s="3"/>
      <x:c r="B8" s="3"/>
      <x:c r="C8" s="3"/>
      <x:c r="D8" s="3"/>
      <x:c r="E8" s="3"/>
      <x:c r="F8" s="3"/>
      <x:c r="G8" s="3"/>
      <x:c r="H8" s="3"/>
      <x:c r="I8" s="3"/>
      <x:c r="J8" s="3"/>
    </x:row>
    <x:row r="9" ht="15">
      <x:c r="A9" s="3"/>
      <x:c r="B9" s="3"/>
      <x:c r="C9" s="3"/>
      <x:c r="D9" s="3"/>
      <x:c r="E9" s="3"/>
      <x:c r="F9" s="3"/>
      <x:c r="G9" s="3"/>
      <x:c r="H9" s="3"/>
      <x:c r="I9" s="3"/>
      <x:c r="J9" s="3"/>
    </x:row>
    <x:row r="10" ht="34" customHeight="1">
      <x:c r="A10" s="29" t="s">
        <x:v>260</x:v>
      </x:c>
      <x:c r="B10" s="29" t="s">
        <x:v>95</x:v>
      </x:c>
      <x:c r="C10" s="29" t="s">
        <x:v>3</x:v>
      </x:c>
      <x:c r="D10" s="29" t="s">
        <x:v>261</x:v>
      </x:c>
      <x:c r="E10" s="29" t="s">
        <x:v>101</x:v>
      </x:c>
      <x:c r="F10" s="29" t="s">
        <x:v>21</x:v>
      </x:c>
      <x:c r="G10" s="3"/>
      <x:c r="H10" s="3"/>
      <x:c r="I10" s="3"/>
      <x:c r="J10" s="3"/>
    </x:row>
    <x:row r="11" ht="41.25" customHeight="1">
      <x:c r="A11" s="13" t="s">
        <x:v>262</x:v>
      </x:c>
      <x:c r="B11" s="20">
        <x:v>155000</x:v>
      </x:c>
      <x:c r="C11" s="20">
        <x:v>78500</x:v>
      </x:c>
      <x:c r="D11" s="20">
        <x:v>150000</x:v>
      </x:c>
      <x:c r="E11" s="20" t="n">
        <x:f t="shared" ref="E11:E16" si="0">B11-D11</x:f>
        <x:v>5000</x:v>
      </x:c>
      <x:c r="F11" s="13" t="s">
        <x:v>51</x:v>
      </x:c>
      <x:c r="G11" s="3"/>
      <x:c r="H11" s="3"/>
      <x:c r="I11" s="3"/>
      <x:c r="J11" s="3"/>
    </x:row>
    <x:row r="12" ht="41.25" customHeight="1">
      <x:c r="A12" s="13" t="s">
        <x:v>263</x:v>
      </x:c>
      <x:c r="B12" s="20">
        <x:v>230000</x:v>
      </x:c>
      <x:c r="C12" s="20">
        <x:v>102000</x:v>
      </x:c>
      <x:c r="D12" s="20">
        <x:v>228000</x:v>
      </x:c>
      <x:c r="E12" s="20">
        <x:f t="shared" si="0"/>
        <x:v>2000</x:v>
      </x:c>
      <x:c r="F12" s="13" t="s">
        <x:v>41</x:v>
      </x:c>
      <x:c r="G12" s="3"/>
      <x:c r="H12" s="3"/>
      <x:c r="I12" s="3"/>
      <x:c r="J12" s="3"/>
    </x:row>
    <x:row r="13" ht="41.25" customHeight="1">
      <x:c r="A13" s="13" t="s">
        <x:v>264</x:v>
      </x:c>
      <x:c r="B13" s="20">
        <x:v>48000</x:v>
      </x:c>
      <x:c r="C13" s="20">
        <x:v>23400</x:v>
      </x:c>
      <x:c r="D13" s="20">
        <x:v>46500</x:v>
      </x:c>
      <x:c r="E13" s="20">
        <x:f t="shared" si="0"/>
        <x:v>1500</x:v>
      </x:c>
      <x:c r="F13" s="13" t="s">
        <x:v>51</x:v>
      </x:c>
      <x:c r="G13" s="3"/>
      <x:c r="H13" s="3"/>
      <x:c r="I13" s="3"/>
      <x:c r="J13" s="3"/>
    </x:row>
    <x:row r="14" ht="41.25" customHeight="1">
      <x:c r="A14" s="13" t="s">
        <x:v>265</x:v>
      </x:c>
      <x:c r="B14" s="20">
        <x:v>72000</x:v>
      </x:c>
      <x:c r="C14" s="20">
        <x:v>24000</x:v>
      </x:c>
      <x:c r="D14" s="20">
        <x:v>71000</x:v>
      </x:c>
      <x:c r="E14" s="20">
        <x:f t="shared" si="0"/>
        <x:v>1000</x:v>
      </x:c>
      <x:c r="F14" s="13" t="s">
        <x:v>51</x:v>
      </x:c>
      <x:c r="G14" s="3"/>
      <x:c r="H14" s="3"/>
      <x:c r="I14" s="3"/>
      <x:c r="J14" s="3"/>
    </x:row>
    <x:row r="15" ht="41.25" customHeight="1">
      <x:c r="A15" s="13" t="s">
        <x:v>266</x:v>
      </x:c>
      <x:c r="B15" s="20">
        <x:v>35000</x:v>
      </x:c>
      <x:c r="C15" s="20">
        <x:v>10000</x:v>
      </x:c>
      <x:c r="D15" s="20">
        <x:v>33500</x:v>
      </x:c>
      <x:c r="E15" s="20">
        <x:f t="shared" si="0"/>
        <x:v>1500</x:v>
      </x:c>
      <x:c r="F15" s="13" t="s">
        <x:v>70</x:v>
      </x:c>
      <x:c r="G15" s="3"/>
      <x:c r="H15" s="3"/>
      <x:c r="I15" s="3"/>
      <x:c r="J15" s="3"/>
    </x:row>
    <x:row r="16" ht="41.25" customHeight="1">
      <x:c r="A16" s="13" t="s">
        <x:v>267</x:v>
      </x:c>
      <x:c r="B16" s="20">
        <x:v>60000</x:v>
      </x:c>
      <x:c r="C16" s="20">
        <x:v>14100</x:v>
      </x:c>
      <x:c r="D16" s="20">
        <x:v>56000</x:v>
      </x:c>
      <x:c r="E16" s="20">
        <x:f t="shared" si="0"/>
        <x:v>4000</x:v>
      </x:c>
      <x:c r="F16" s="13" t="s">
        <x:v>268</x:v>
      </x:c>
      <x:c r="G16" s="3"/>
      <x:c r="H16" s="3"/>
      <x:c r="I16" s="3"/>
      <x:c r="J16" s="3"/>
    </x:row>
    <x:row r="17" ht="41.25" customHeight="1">
      <x:c r="A17" s="13"/>
      <x:c r="B17" s="20"/>
      <x:c r="C17" s="20"/>
      <x:c r="D17" s="20"/>
      <x:c r="E17" s="20"/>
      <x:c r="F17" s="13"/>
      <x:c r="G17" s="3"/>
      <x:c r="H17" s="3"/>
      <x:c r="I17" s="3"/>
      <x:c r="J17" s="3"/>
    </x:row>
    <x:row r="18" ht="41.25" customHeight="1">
      <x:c r="A18" s="12" t="s">
        <x:v>269</x:v>
      </x:c>
      <x:c r="B18" s="21" t="n">
        <x:f>SUM(B11:B16)</x:f>
        <x:v>600000</x:v>
      </x:c>
      <x:c r="C18" s="21" t="n">
        <x:f>SUM(C11:C16)</x:f>
        <x:v>252000</x:v>
      </x:c>
      <x:c r="D18" s="21" t="n">
        <x:f>SUM(D11:D16)</x:f>
        <x:v>585000</x:v>
      </x:c>
      <x:c r="E18" s="21" t="n">
        <x:f>SUM(E11:E16)</x:f>
        <x:v>15000</x:v>
      </x:c>
      <x:c r="F18" s="12"/>
      <x:c r="G18" s="3"/>
      <x:c r="H18" s="3"/>
      <x:c r="I18" s="3"/>
      <x:c r="J18" s="3"/>
    </x:row>
    <x:row r="19" ht="15">
      <x:c r="A19" s="3"/>
      <x:c r="B19" s="3"/>
      <x:c r="C19" s="3"/>
      <x:c r="D19" s="3"/>
      <x:c r="E19" s="3"/>
      <x:c r="F19" s="3"/>
      <x:c r="G19" s="3"/>
      <x:c r="H19" s="3"/>
      <x:c r="I19" s="3"/>
      <x:c r="J19" s="3"/>
    </x:row>
    <x:row r="20" ht="15">
      <x:c r="A20" s="3"/>
      <x:c r="B20" s="3"/>
      <x:c r="C20" s="3"/>
      <x:c r="D20" s="3"/>
      <x:c r="E20" s="3"/>
      <x:c r="F20" s="3"/>
      <x:c r="G20" s="3"/>
      <x:c r="H20" s="3"/>
      <x:c r="I20" s="3"/>
      <x:c r="J20" s="3"/>
    </x:row>
    <x:row r="21" ht="15">
      <x:c r="A21" s="3"/>
      <x:c r="B21" s="3"/>
      <x:c r="C21" s="3"/>
      <x:c r="D21" s="3"/>
      <x:c r="E21" s="3"/>
      <x:c r="F21" s="3"/>
      <x:c r="G21" s="3"/>
      <x:c r="H21" s="3"/>
      <x:c r="I21" s="3"/>
      <x:c r="J21" s="3"/>
    </x:row>
    <x:row r="22" ht="24" customHeight="1">
      <x:c r="A22" s="61" t="s">
        <x:v>102</x:v>
      </x:c>
      <x:c r="B22" s="61"/>
      <x:c r="C22" s="61"/>
      <x:c r="D22" s="61"/>
      <x:c r="E22" s="61"/>
      <x:c r="F22" s="61"/>
      <x:c r="G22" s="61"/>
      <x:c r="H22" s="61"/>
      <x:c r="I22" s="61"/>
      <x:c r="J22" s="73"/>
    </x:row>
  </x:sheetData>
  <x:mergeCells>
    <x:mergeCell ref="A22:J22"/>
    <x:mergeCell ref="A5:B5"/>
    <x:mergeCell ref="A6:B6"/>
    <x:mergeCell ref="A7:B7"/>
    <x:mergeCell ref="C5:D5"/>
    <x:mergeCell ref="C6:D6"/>
    <x:mergeCell ref="C7:D7"/>
    <x:mergeCell ref="E5:F5"/>
    <x:mergeCell ref="E6:F6"/>
    <x:mergeCell ref="E7:F7"/>
    <x:mergeCell ref="G5:H5"/>
    <x:mergeCell ref="G6:H6"/>
    <x:mergeCell ref="G7:H7"/>
    <x:mergeCell ref="I5:J5"/>
    <x:mergeCell ref="I6:J6"/>
    <x:mergeCell ref="I7:J7"/>
    <x:mergeCell ref="A1:J1"/>
    <x:mergeCell ref="A2:J2"/>
    <x:mergeCell ref="A3:J3"/>
  </x:mergeCells>
  <x:conditionalFormatting sqref="E11:E16">
    <x:cfRule type="expression" dxfId="29" priority="29">
      <x:formula>E11&lt;0</x:formula>
    </x:cfRule>
    <x:cfRule type="expression" dxfId="28" priority="30">
      <x:formula>E11&gt;=0</x:formula>
    </x:cfRule>
  </x:conditionalFormatting>
  <x:conditionalFormatting sqref="F11:F16">
    <x:cfRule type="expression" dxfId="27" priority="31">
      <x:formula>OR($F11="Complete",$F11="Approved",$F11="Available",$F11="Confirmed",$F11="On Track")</x:formula>
    </x:cfRule>
    <x:cfRule type="expression" dxfId="26" priority="32">
      <x:formula>OR($F11="In Progress",$F11="Open",$F11="Watch",$F11="In Review")</x:formula>
    </x:cfRule>
    <x:cfRule type="expression" dxfId="25" priority="33">
      <x:formula>OR($F11="At Risk",$F11="Critical")</x:formula>
    </x:cfRule>
    <x:cfRule type="expression" dxfId="24" priority="34">
      <x:formula>OR($F11="Not Started",$F11="Review")</x:formula>
    </x:cfRule>
  </x:conditionalFormatting>
  <x:pageMargins left="0.7" right="0.7" top="0.75" bottom="0.75" header="0.3" footer="0.3"/>
  <x:drawing xmlns:r="http://schemas.openxmlformats.org/officeDocument/2006/relationships" r:id="R35028f8cb35b4c0f"/>
</x:worksheet>
</file>

<file path=xl/worksheets/sheet6.xml><?xml version="1.0" encoding="utf-8"?>
<x:worksheet xmlns:x="http://schemas.openxmlformats.org/spreadsheetml/2006/main">
  <x:sheetViews>
    <x:sheetView showGridLines="0" workbookViewId="0"/>
  </x:sheetViews>
  <x:sheetFormatPr baseColWidth="10" defaultColWidth="8.83203125" defaultRowHeight="14"/>
  <x:cols>
    <x:col min="1" max="1" width="13" customWidth="1"/>
    <x:col min="2" max="2" width="26" customWidth="1"/>
    <x:col min="3" max="3" width="18" customWidth="1"/>
    <x:col min="4" max="4" width="22" customWidth="1"/>
    <x:col min="5" max="5" width="13" customWidth="1"/>
    <x:col min="6" max="6" width="14" customWidth="1"/>
    <x:col min="7" max="7" width="18" customWidth="1"/>
    <x:col min="8" max="8" width="19" customWidth="1"/>
    <x:col min="9" max="9" width="17" customWidth="1"/>
    <x:col min="10" max="10" width="20" customWidth="1"/>
    <x:col min="11" max="11" width="42" customWidth="1"/>
    <x:col min="12" max="12" width="15" customWidth="1"/>
  </x:cols>
  <x:sheetData>
    <x:row r="1" ht="36" customHeight="1">
      <x:c r="A1" s="58" t="s">
        <x:v>270</x:v>
      </x:c>
      <x:c r="B1" s="58"/>
      <x:c r="C1" s="58"/>
      <x:c r="D1" s="58"/>
      <x:c r="E1" s="58"/>
      <x:c r="F1" s="58"/>
      <x:c r="G1" s="58"/>
      <x:c r="H1" s="58"/>
      <x:c r="I1" s="58"/>
      <x:c r="J1" s="58"/>
      <x:c r="K1" s="58"/>
      <x:c r="L1" s="58"/>
    </x:row>
    <x:row r="2" ht="42" customHeight="1">
      <x:c r="A2" s="95" t="str">
        <x:v>Sample parts, outside-support, and dependency controls using generic fictional needs.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59"/>
      <x:c r="K2" s="59"/>
      <x:c r="L2" s="59"/>
    </x:row>
    <x:row r="3" ht="7" customHeight="1">
      <x:c r="A3" s="66"/>
      <x:c r="B3" s="66"/>
      <x:c r="C3" s="66"/>
      <x:c r="D3" s="66"/>
      <x:c r="E3" s="66"/>
      <x:c r="F3" s="66"/>
      <x:c r="G3" s="66"/>
      <x:c r="H3" s="66"/>
      <x:c r="I3" s="66"/>
      <x:c r="J3" s="66"/>
      <x:c r="K3" s="66"/>
      <x:c r="L3" s="66"/>
    </x:row>
    <x:row r="4" ht="15">
      <x:c r="A4" s="3"/>
      <x:c r="B4" s="3"/>
      <x:c r="C4" s="3"/>
      <x:c r="D4" s="3"/>
      <x:c r="E4" s="3"/>
      <x:c r="F4" s="3"/>
      <x:c r="G4" s="3"/>
      <x:c r="H4" s="3"/>
      <x:c r="I4" s="3"/>
      <x:c r="J4" s="3"/>
      <x:c r="K4" s="3"/>
      <x:c r="L4" s="3"/>
    </x:row>
    <x:row r="5" ht="34" customHeight="1">
      <x:c r="A5" s="29" t="s">
        <x:v>271</x:v>
      </x:c>
      <x:c r="B5" s="29" t="s">
        <x:v>272</x:v>
      </x:c>
      <x:c r="C5" s="29" t="s">
        <x:v>260</x:v>
      </x:c>
      <x:c r="D5" s="29" t="s">
        <x:v>273</x:v>
      </x:c>
      <x:c r="E5" s="29" t="s">
        <x:v>274</x:v>
      </x:c>
      <x:c r="F5" s="29" t="s">
        <x:v>275</x:v>
      </x:c>
      <x:c r="G5" s="29" t="s">
        <x:v>276</x:v>
      </x:c>
      <x:c r="H5" s="29" t="s">
        <x:v>277</x:v>
      </x:c>
      <x:c r="I5" s="29" t="s">
        <x:v>193</x:v>
      </x:c>
      <x:c r="J5" s="29" t="s">
        <x:v>18</x:v>
      </x:c>
      <x:c r="K5" s="29" t="s">
        <x:v>20</x:v>
      </x:c>
      <x:c r="L5" s="29" t="s">
        <x:v>21</x:v>
      </x:c>
    </x:row>
    <x:row r="6" ht="48" customHeight="1">
      <x:c r="A6" s="13" t="s">
        <x:v>278</x:v>
      </x:c>
      <x:c r="B6" s="19" t="s">
        <x:v>279</x:v>
      </x:c>
      <x:c r="C6" s="19" t="s">
        <x:v>280</x:v>
      </x:c>
      <x:c r="D6" s="19" t="s">
        <x:v>281</x:v>
      </x:c>
      <x:c r="E6" s="13" t="s">
        <x:v>199</x:v>
      </x:c>
      <x:c r="F6" s="13" t="s">
        <x:v>282</x:v>
      </x:c>
      <x:c r="G6" s="13" t="s">
        <x:v>283</x:v>
      </x:c>
      <x:c r="H6" s="13" t="s">
        <x:v>231</x:v>
      </x:c>
      <x:c r="I6" s="13" t="s">
        <x:v>199</x:v>
      </x:c>
      <x:c r="J6" s="13" t="s">
        <x:v>157</x:v>
      </x:c>
      <x:c r="K6" s="19" t="s">
        <x:v>284</x:v>
      </x:c>
      <x:c r="L6" s="13" t="s">
        <x:v>285</x:v>
      </x:c>
    </x:row>
    <x:row r="7" ht="48" customHeight="1">
      <x:c r="A7" s="13" t="s">
        <x:v>286</x:v>
      </x:c>
      <x:c r="B7" s="19" t="s">
        <x:v>287</x:v>
      </x:c>
      <x:c r="C7" s="19" t="s">
        <x:v>288</x:v>
      </x:c>
      <x:c r="D7" s="19" t="s">
        <x:v>289</x:v>
      </x:c>
      <x:c r="E7" s="13" t="s">
        <x:v>219</x:v>
      </x:c>
      <x:c r="F7" s="13" t="s">
        <x:v>282</x:v>
      </x:c>
      <x:c r="G7" s="13" t="s">
        <x:v>290</x:v>
      </x:c>
      <x:c r="H7" s="13" t="s">
        <x:v>217</x:v>
      </x:c>
      <x:c r="I7" s="13" t="s">
        <x:v>219</x:v>
      </x:c>
      <x:c r="J7" s="13" t="s">
        <x:v>39</x:v>
      </x:c>
      <x:c r="K7" s="19" t="s">
        <x:v>291</x:v>
      </x:c>
      <x:c r="L7" s="13" t="s">
        <x:v>292</x:v>
      </x:c>
    </x:row>
    <x:row r="8" ht="48" customHeight="1">
      <x:c r="A8" s="13" t="s">
        <x:v>293</x:v>
      </x:c>
      <x:c r="B8" s="19" t="s">
        <x:v>294</x:v>
      </x:c>
      <x:c r="C8" s="19" t="s">
        <x:v>288</x:v>
      </x:c>
      <x:c r="D8" s="19" t="s">
        <x:v>289</x:v>
      </x:c>
      <x:c r="E8" s="13" t="s">
        <x:v>295</x:v>
      </x:c>
      <x:c r="F8" s="13" t="s">
        <x:v>282</x:v>
      </x:c>
      <x:c r="G8" s="13" t="s">
        <x:v>296</x:v>
      </x:c>
      <x:c r="H8" s="13" t="s">
        <x:v>217</x:v>
      </x:c>
      <x:c r="I8" s="13" t="s">
        <x:v>295</x:v>
      </x:c>
      <x:c r="J8" s="13" t="s">
        <x:v>39</x:v>
      </x:c>
      <x:c r="K8" s="19" t="s">
        <x:v>297</x:v>
      </x:c>
      <x:c r="L8" s="13" t="s">
        <x:v>41</x:v>
      </x:c>
    </x:row>
    <x:row r="9" ht="48" customHeight="1">
      <x:c r="A9" s="13" t="s">
        <x:v>298</x:v>
      </x:c>
      <x:c r="B9" s="19" t="s">
        <x:v>299</x:v>
      </x:c>
      <x:c r="C9" s="19" t="s">
        <x:v>300</x:v>
      </x:c>
      <x:c r="D9" s="19" t="s">
        <x:v>281</x:v>
      </x:c>
      <x:c r="E9" s="13" t="s">
        <x:v>208</x:v>
      </x:c>
      <x:c r="F9" s="13" t="s">
        <x:v>301</x:v>
      </x:c>
      <x:c r="G9" s="13" t="s">
        <x:v>301</x:v>
      </x:c>
      <x:c r="H9" s="13" t="s">
        <x:v>213</x:v>
      </x:c>
      <x:c r="I9" s="13" t="s">
        <x:v>208</x:v>
      </x:c>
      <x:c r="J9" s="13" t="s">
        <x:v>148</x:v>
      </x:c>
      <x:c r="K9" s="19" t="s">
        <x:v>302</x:v>
      </x:c>
      <x:c r="L9" s="13" t="s">
        <x:v>285</x:v>
      </x:c>
    </x:row>
    <x:row r="10" ht="48" customHeight="1">
      <x:c r="A10" s="13" t="s">
        <x:v>303</x:v>
      </x:c>
      <x:c r="B10" s="19" t="s">
        <x:v>304</x:v>
      </x:c>
      <x:c r="C10" s="19" t="s">
        <x:v>305</x:v>
      </x:c>
      <x:c r="D10" s="19" t="s">
        <x:v>306</x:v>
      </x:c>
      <x:c r="E10" s="13" t="s">
        <x:v>208</x:v>
      </x:c>
      <x:c r="F10" s="13" t="s">
        <x:v>307</x:v>
      </x:c>
      <x:c r="G10" s="13" t="s">
        <x:v>307</x:v>
      </x:c>
      <x:c r="H10" s="13" t="s">
        <x:v>224</x:v>
      </x:c>
      <x:c r="I10" s="13" t="s">
        <x:v>208</x:v>
      </x:c>
      <x:c r="J10" s="13" t="s">
        <x:v>159</x:v>
      </x:c>
      <x:c r="K10" s="19" t="s">
        <x:v>308</x:v>
      </x:c>
      <x:c r="L10" s="13" t="s">
        <x:v>309</x:v>
      </x:c>
    </x:row>
    <x:row r="11" ht="48" customHeight="1">
      <x:c r="A11" s="13" t="s">
        <x:v>310</x:v>
      </x:c>
      <x:c r="B11" s="19" t="s">
        <x:v>311</x:v>
      </x:c>
      <x:c r="C11" s="19" t="s">
        <x:v>312</x:v>
      </x:c>
      <x:c r="D11" s="19" t="s">
        <x:v>313</x:v>
      </x:c>
      <x:c r="E11" s="13" t="s">
        <x:v>219</x:v>
      </x:c>
      <x:c r="F11" s="13" t="s">
        <x:v>314</x:v>
      </x:c>
      <x:c r="G11" s="13" t="s">
        <x:v>315</x:v>
      </x:c>
      <x:c r="H11" s="13" t="s">
        <x:v>228</x:v>
      </x:c>
      <x:c r="I11" s="13" t="s">
        <x:v>219</x:v>
      </x:c>
      <x:c r="J11" s="13" t="s">
        <x:v>39</x:v>
      </x:c>
      <x:c r="K11" s="19" t="s">
        <x:v>316</x:v>
      </x:c>
      <x:c r="L11" s="13" t="s">
        <x:v>292</x:v>
      </x:c>
    </x:row>
    <x:row r="12" ht="48" customHeight="1">
      <x:c r="A12" s="13" t="s">
        <x:v>317</x:v>
      </x:c>
      <x:c r="B12" s="19" t="s">
        <x:v>318</x:v>
      </x:c>
      <x:c r="C12" s="19" t="s">
        <x:v>280</x:v>
      </x:c>
      <x:c r="D12" s="19" t="s">
        <x:v>281</x:v>
      </x:c>
      <x:c r="E12" s="13" t="s">
        <x:v>199</x:v>
      </x:c>
      <x:c r="F12" s="13" t="s">
        <x:v>315</x:v>
      </x:c>
      <x:c r="G12" s="13" t="s">
        <x:v>315</x:v>
      </x:c>
      <x:c r="H12" s="13" t="s">
        <x:v>231</x:v>
      </x:c>
      <x:c r="I12" s="13" t="s">
        <x:v>199</x:v>
      </x:c>
      <x:c r="J12" s="13" t="s">
        <x:v>157</x:v>
      </x:c>
      <x:c r="K12" s="19" t="s">
        <x:v>319</x:v>
      </x:c>
      <x:c r="L12" s="13" t="s">
        <x:v>285</x:v>
      </x:c>
    </x:row>
    <x:row r="13" ht="48" customHeight="1">
      <x:c r="A13" s="13" t="s">
        <x:v>320</x:v>
      </x:c>
      <x:c r="B13" s="19" t="s">
        <x:v>321</x:v>
      </x:c>
      <x:c r="C13" s="19" t="s">
        <x:v>322</x:v>
      </x:c>
      <x:c r="D13" s="19" t="s">
        <x:v>323</x:v>
      </x:c>
      <x:c r="E13" s="13" t="s">
        <x:v>208</x:v>
      </x:c>
      <x:c r="F13" s="13" t="s">
        <x:v>324</x:v>
      </x:c>
      <x:c r="G13" s="13" t="s">
        <x:v>325</x:v>
      </x:c>
      <x:c r="H13" s="13" t="s">
        <x:v>240</x:v>
      </x:c>
      <x:c r="I13" s="13" t="s">
        <x:v>208</x:v>
      </x:c>
      <x:c r="J13" s="13" t="s">
        <x:v>29</x:v>
      </x:c>
      <x:c r="K13" s="19" t="str">
        <x:v>Start pulling the records together before sample closeout</x:v>
      </x:c>
      <x:c r="L13" s="13" t="s">
        <x:v>70</x:v>
      </x:c>
    </x:row>
    <x:row r="14">
      <x:c r="A14" s="1"/>
      <x:c r="B14" s="1"/>
      <x:c r="C14" s="1"/>
      <x:c r="D14" s="1"/>
      <x:c r="E14" s="1"/>
      <x:c r="F14" s="1"/>
      <x:c r="G14" s="1"/>
      <x:c r="H14" s="1"/>
      <x:c r="I14" s="1"/>
      <x:c r="J14" s="1"/>
      <x:c r="K14" s="1"/>
      <x:c r="L14" s="1"/>
    </x:row>
    <x:row r="15" ht="24" customHeight="1">
      <x:c r="A15" s="61" t="s">
        <x:v>102</x:v>
      </x:c>
      <x:c r="B15" s="61"/>
      <x:c r="C15" s="61"/>
      <x:c r="D15" s="61"/>
      <x:c r="E15" s="61"/>
      <x:c r="F15" s="61"/>
      <x:c r="G15" s="61"/>
      <x:c r="H15" s="61"/>
      <x:c r="I15" s="61"/>
      <x:c r="J15" s="61"/>
      <x:c r="K15" s="61"/>
      <x:c r="L15" s="61"/>
    </x:row>
  </x:sheetData>
  <x:mergeCells>
    <x:mergeCell ref="A1:L1"/>
    <x:mergeCell ref="A2:L2"/>
    <x:mergeCell ref="A3:L3"/>
    <x:mergeCell ref="A15:L15"/>
  </x:mergeCells>
  <x:conditionalFormatting sqref="E6:E13">
    <x:cfRule type="expression" dxfId="23" priority="29">
      <x:formula>E6="Critical"</x:formula>
    </x:cfRule>
    <x:cfRule type="expression" dxfId="22" priority="30">
      <x:formula>E6="High"</x:formula>
    </x:cfRule>
  </x:conditionalFormatting>
  <x:conditionalFormatting sqref="L6:L13">
    <x:cfRule type="expression" dxfId="21" priority="31">
      <x:formula>OR($L6="Complete",$L6="Approved",$L6="Available",$L6="Confirmed",$L6="On Track")</x:formula>
    </x:cfRule>
    <x:cfRule type="expression" dxfId="20" priority="32">
      <x:formula>OR($L6="In Progress",$L6="Open",$L6="Watch",$L6="In Review")</x:formula>
    </x:cfRule>
    <x:cfRule type="expression" dxfId="19" priority="33">
      <x:formula>OR($L6="At Risk",$L6="Critical")</x:formula>
    </x:cfRule>
    <x:cfRule type="expression" dxfId="18" priority="34">
      <x:formula>OR($L6="Not Started",$L6="Review")</x:formula>
    </x:cfRule>
  </x:conditionalFormatting>
  <x:dataValidations count="1">
    <x:dataValidation type="list" sqref="L6:L13">
      <x:formula1>"Available,Confirmed,In Review,At Risk,Not Started"</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4"/>
  <x:cols>
    <x:col min="1" max="1" width="5.83203125" customWidth="1"/>
    <x:col min="2" max="2" width="9.83203125" customWidth="1"/>
    <x:col min="3" max="3" width="29.1640625" customWidth="1"/>
    <x:col min="4" max="4" width="38.83203125" customWidth="1"/>
    <x:col min="5" max="5" width="16.83203125" customWidth="1"/>
    <x:col min="6" max="6" width="14" customWidth="1"/>
    <x:col min="7" max="7" width="17" customWidth="1"/>
    <x:col min="8" max="8" width="12" customWidth="1"/>
    <x:col min="9" max="9" width="34.5" customWidth="1"/>
    <x:col min="10" max="10" width="35.83203125" customWidth="1"/>
  </x:cols>
  <x:sheetData>
    <x:row r="1" ht="36" customHeight="1">
      <x:c r="A1" s="58" t="str">
        <x:v>Project-Control Gates &amp; Closeout Checklist</x:v>
      </x:c>
      <x:c r="B1" s="58"/>
      <x:c r="C1" s="58"/>
      <x:c r="D1" s="58"/>
      <x:c r="E1" s="58"/>
      <x:c r="F1" s="58"/>
      <x:c r="G1" s="58"/>
      <x:c r="H1" s="58"/>
      <x:c r="I1" s="58"/>
      <x:c r="J1" s="58"/>
    </x:row>
    <x:row r="2" ht="42" customHeight="1">
      <x:c r="A2" s="95" t="str">
        <x:v>Illustrative project-control readiness gates only.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c r="J2" s="59"/>
    </x:row>
    <x:row r="3" ht="7" customHeight="1">
      <x:c r="A3" s="66"/>
      <x:c r="B3" s="66"/>
      <x:c r="C3" s="66"/>
      <x:c r="D3" s="66"/>
      <x:c r="E3" s="66"/>
      <x:c r="F3" s="66"/>
      <x:c r="G3" s="66"/>
      <x:c r="H3" s="66"/>
      <x:c r="I3" s="66"/>
      <x:c r="J3" s="66"/>
    </x:row>
    <x:row r="4" ht="15">
      <x:c r="A4" s="3"/>
      <x:c r="B4" s="3"/>
      <x:c r="C4" s="3"/>
      <x:c r="D4" s="3"/>
      <x:c r="E4" s="3"/>
      <x:c r="F4" s="3"/>
      <x:c r="G4" s="3"/>
      <x:c r="H4" s="3"/>
      <x:c r="I4" s="3"/>
      <x:c r="J4" s="3"/>
    </x:row>
    <x:row r="5" ht="34" customHeight="1">
      <x:c r="A5" s="29" t="s">
        <x:v>326</x:v>
      </x:c>
      <x:c r="B5" s="29" t="s">
        <x:v>185</x:v>
      </x:c>
      <x:c r="C5" s="29" t="s">
        <x:v>327</x:v>
      </x:c>
      <x:c r="D5" s="29" t="s">
        <x:v>328</x:v>
      </x:c>
      <x:c r="E5" s="29" t="s">
        <x:v>18</x:v>
      </x:c>
      <x:c r="F5" s="29" t="s">
        <x:v>329</x:v>
      </x:c>
      <x:c r="G5" s="29" t="s">
        <x:v>21</x:v>
      </x:c>
      <x:c r="H5" s="29" t="s">
        <x:v>193</x:v>
      </x:c>
      <x:c r="I5" s="29" t="s">
        <x:v>20</x:v>
      </x:c>
      <x:c r="J5" s="29" t="s">
        <x:v>330</x:v>
      </x:c>
    </x:row>
    <x:row r="6" ht="15">
      <x:c r="A6" s="13" t="s">
        <x:v>331</x:v>
      </x:c>
      <x:c r="B6" s="13" t="s">
        <x:v>203</x:v>
      </x:c>
      <x:c r="C6" s="19" t="s">
        <x:v>332</x:v>
      </x:c>
      <x:c r="D6" s="19" t="s">
        <x:v>333</x:v>
      </x:c>
      <x:c r="E6" s="13" t="s">
        <x:v>142</x:v>
      </x:c>
      <x:c r="F6" s="13">
        <x:v>2</x:v>
      </x:c>
      <x:c r="G6" s="13" t="s">
        <x:v>32</x:v>
      </x:c>
      <x:c r="H6" s="13" t="s">
        <x:v>199</x:v>
      </x:c>
      <x:c r="I6" s="19" t="s">
        <x:v>31</x:v>
      </x:c>
      <x:c r="J6" s="19" t="s">
        <x:v>334</x:v>
      </x:c>
    </x:row>
    <x:row r="7" ht="15">
      <x:c r="A7" s="13" t="s">
        <x:v>335</x:v>
      </x:c>
      <x:c r="B7" s="13" t="s">
        <x:v>203</x:v>
      </x:c>
      <x:c r="C7" s="19" t="s">
        <x:v>336</x:v>
      </x:c>
      <x:c r="D7" s="19" t="s">
        <x:v>337</x:v>
      </x:c>
      <x:c r="E7" s="13" t="s">
        <x:v>39</x:v>
      </x:c>
      <x:c r="F7" s="13">
        <x:v>3</x:v>
      </x:c>
      <x:c r="G7" s="13" t="s">
        <x:v>41</x:v>
      </x:c>
      <x:c r="H7" s="13" t="s">
        <x:v>219</x:v>
      </x:c>
      <x:c r="I7" s="19" t="s">
        <x:v>338</x:v>
      </x:c>
      <x:c r="J7" s="19" t="s">
        <x:v>339</x:v>
      </x:c>
    </x:row>
    <x:row r="8" ht="30">
      <x:c r="A8" s="13" t="s">
        <x:v>340</x:v>
      </x:c>
      <x:c r="B8" s="13" t="s">
        <x:v>214</x:v>
      </x:c>
      <x:c r="C8" s="19" t="s">
        <x:v>215</x:v>
      </x:c>
      <x:c r="D8" s="19" t="s">
        <x:v>341</x:v>
      </x:c>
      <x:c r="E8" s="13" t="s">
        <x:v>148</x:v>
      </x:c>
      <x:c r="F8" s="13">
        <x:v>7</x:v>
      </x:c>
      <x:c r="G8" s="13" t="s">
        <x:v>51</x:v>
      </x:c>
      <x:c r="H8" s="13" t="s">
        <x:v>208</x:v>
      </x:c>
      <x:c r="I8" s="19" t="s">
        <x:v>342</x:v>
      </x:c>
      <x:c r="J8" s="19" t="s">
        <x:v>343</x:v>
      </x:c>
    </x:row>
    <x:row r="9" ht="30">
      <x:c r="A9" s="13" t="s">
        <x:v>344</x:v>
      </x:c>
      <x:c r="B9" s="13" t="s">
        <x:v>214</x:v>
      </x:c>
      <x:c r="C9" s="19" t="s">
        <x:v>218</x:v>
      </x:c>
      <x:c r="D9" s="19" t="s">
        <x:v>345</x:v>
      </x:c>
      <x:c r="E9" s="13" t="s">
        <x:v>159</x:v>
      </x:c>
      <x:c r="F9" s="13">
        <x:v>8</x:v>
      </x:c>
      <x:c r="G9" s="13" t="s">
        <x:v>41</x:v>
      </x:c>
      <x:c r="H9" s="13" t="s">
        <x:v>219</x:v>
      </x:c>
      <x:c r="I9" s="19" t="s">
        <x:v>346</x:v>
      </x:c>
      <x:c r="J9" s="19" t="s">
        <x:v>347</x:v>
      </x:c>
    </x:row>
    <x:row r="10" ht="15">
      <x:c r="A10" s="13" t="s">
        <x:v>348</x:v>
      </x:c>
      <x:c r="B10" s="13" t="s">
        <x:v>225</x:v>
      </x:c>
      <x:c r="C10" s="19" t="s">
        <x:v>349</x:v>
      </x:c>
      <x:c r="D10" s="19" t="s">
        <x:v>350</x:v>
      </x:c>
      <x:c r="E10" s="13" t="s">
        <x:v>159</x:v>
      </x:c>
      <x:c r="F10" s="13">
        <x:v>9</x:v>
      </x:c>
      <x:c r="G10" s="13" t="s">
        <x:v>70</x:v>
      </x:c>
      <x:c r="H10" s="13" t="s">
        <x:v>219</x:v>
      </x:c>
      <x:c r="I10" s="19" t="s">
        <x:v>351</x:v>
      </x:c>
      <x:c r="J10" s="19" t="s">
        <x:v>352</x:v>
      </x:c>
    </x:row>
    <x:row r="11" ht="15">
      <x:c r="A11" s="13" t="s">
        <x:v>353</x:v>
      </x:c>
      <x:c r="B11" s="13" t="s">
        <x:v>56</x:v>
      </x:c>
      <x:c r="C11" s="19" t="s">
        <x:v>354</x:v>
      </x:c>
      <x:c r="D11" s="19" t="s">
        <x:v>355</x:v>
      </x:c>
      <x:c r="E11" s="13" t="s">
        <x:v>157</x:v>
      </x:c>
      <x:c r="F11" s="13">
        <x:v>10</x:v>
      </x:c>
      <x:c r="G11" s="13" t="s">
        <x:v>70</x:v>
      </x:c>
      <x:c r="H11" s="13" t="s">
        <x:v>219</x:v>
      </x:c>
      <x:c r="I11" s="19" t="s">
        <x:v>356</x:v>
      </x:c>
      <x:c r="J11" s="19" t="str">
        <x:v>No open project-review action blocks sample closeout</x:v>
      </x:c>
    </x:row>
    <x:row r="12" ht="30">
      <x:c r="A12" s="13" t="s">
        <x:v>357</x:v>
      </x:c>
      <x:c r="B12" s="13" t="s">
        <x:v>238</x:v>
      </x:c>
      <x:c r="C12" s="19" t="str">
        <x:v>Complete illustrative project-control closeout</x:v>
      </x:c>
      <x:c r="D12" s="19" t="str">
        <x:v>Readiness summary, fictional sponsor closure, and closeout record</x:v>
      </x:c>
      <x:c r="E12" s="13" t="s">
        <x:v>142</x:v>
      </x:c>
      <x:c r="F12" s="13">
        <x:v>12</x:v>
      </x:c>
      <x:c r="G12" s="13" t="s">
        <x:v>70</x:v>
      </x:c>
      <x:c r="H12" s="13" t="s">
        <x:v>295</x:v>
      </x:c>
      <x:c r="I12" s="19" t="str">
        <x:v>Set the final review meeting and sample closeout package</x:v>
      </x:c>
      <x:c r="J12" s="19" t="str">
        <x:v>Fictional sponsor closes the illustrative project-control record</x:v>
      </x:c>
    </x:row>
    <x:row r="13" ht="24" customHeight="1">
      <x:c r="A13" s="61" t="s">
        <x:v>102</x:v>
      </x:c>
      <x:c r="B13" s="61"/>
      <x:c r="C13" s="61"/>
      <x:c r="D13" s="61"/>
      <x:c r="E13" s="61"/>
      <x:c r="F13" s="61"/>
      <x:c r="G13" s="61"/>
      <x:c r="H13" s="61"/>
      <x:c r="I13" s="61"/>
      <x:c r="J13" s="61"/>
    </x:row>
  </x:sheetData>
  <x:mergeCells>
    <x:mergeCell ref="A1:J1"/>
    <x:mergeCell ref="A2:J2"/>
    <x:mergeCell ref="A3:J3"/>
    <x:mergeCell ref="A13:J13"/>
  </x:mergeCells>
  <x:conditionalFormatting sqref="G6:G12">
    <x:cfRule type="expression" dxfId="17" priority="1">
      <x:formula>OR($G6="Complete",$G6="Approved",$G6="Available",$G6="Confirmed",$G6="On Track")</x:formula>
    </x:cfRule>
    <x:cfRule type="expression" dxfId="16" priority="2">
      <x:formula>OR($G6="In Progress",$G6="Open",$G6="Watch",$G6="In Review")</x:formula>
    </x:cfRule>
    <x:cfRule type="expression" dxfId="15" priority="3">
      <x:formula>OR($G6="At Risk",$G6="Critical")</x:formula>
    </x:cfRule>
    <x:cfRule type="expression" dxfId="14" priority="4">
      <x:formula>OR($G6="Not Started",$G6="Review")</x:formula>
    </x:cfRule>
  </x:conditionalFormatting>
  <x:dataValidations count="1">
    <x:dataValidation type="list" sqref="G6:G12">
      <x:formula1>"Complete,In Progress,At Risk,Not Started"</x:formula1>
    </x:dataValidation>
  </x:dataValidation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3203125" defaultRowHeight="14"/>
  <x:cols>
    <x:col min="1" max="1" width="10" customWidth="1"/>
    <x:col min="2" max="2" width="14" customWidth="1"/>
    <x:col min="3" max="3" width="48" customWidth="1"/>
    <x:col min="4" max="4" width="22" customWidth="1"/>
    <x:col min="5" max="5" width="34" customWidth="1"/>
    <x:col min="6" max="6" width="13" customWidth="1"/>
    <x:col min="7" max="8" width="14" customWidth="1"/>
    <x:col min="9" max="9" width="48" customWidth="1"/>
  </x:cols>
  <x:sheetData>
    <x:row r="1" ht="36" customHeight="1">
      <x:c r="A1" s="58" t="s">
        <x:v>358</x:v>
      </x:c>
      <x:c r="B1" s="58"/>
      <x:c r="C1" s="58"/>
      <x:c r="D1" s="58"/>
      <x:c r="E1" s="58"/>
      <x:c r="F1" s="58"/>
      <x:c r="G1" s="58"/>
      <x:c r="H1" s="58"/>
      <x:c r="I1" s="58"/>
    </x:row>
    <x:row r="2" ht="42" customHeight="1">
      <x:c r="A2" s="95" t="str">
        <x:v>Sample risks, assumptions, issues, decisions, and dependencies.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c r="I2" s="59"/>
    </x:row>
    <x:row r="3" ht="7" customHeight="1">
      <x:c r="A3" s="66"/>
      <x:c r="B3" s="66"/>
      <x:c r="C3" s="66"/>
      <x:c r="D3" s="66"/>
      <x:c r="E3" s="66"/>
      <x:c r="F3" s="66"/>
      <x:c r="G3" s="66"/>
      <x:c r="H3" s="66"/>
      <x:c r="I3" s="66"/>
    </x:row>
    <x:row r="4" ht="15">
      <x:c r="A4" s="3"/>
      <x:c r="B4" s="3"/>
      <x:c r="C4" s="3"/>
      <x:c r="D4" s="3"/>
      <x:c r="E4" s="3"/>
      <x:c r="F4" s="3"/>
      <x:c r="G4" s="3"/>
      <x:c r="H4" s="3"/>
      <x:c r="I4" s="3"/>
    </x:row>
    <x:row r="5" ht="34" customHeight="1">
      <x:c r="A5" s="29" t="s">
        <x:v>359</x:v>
      </x:c>
      <x:c r="B5" s="29" t="s">
        <x:v>360</x:v>
      </x:c>
      <x:c r="C5" s="29" t="s">
        <x:v>361</x:v>
      </x:c>
      <x:c r="D5" s="29" t="s">
        <x:v>18</x:v>
      </x:c>
      <x:c r="E5" s="29" t="s">
        <x:v>362</x:v>
      </x:c>
      <x:c r="F5" s="29" t="s">
        <x:v>363</x:v>
      </x:c>
      <x:c r="G5" s="29" t="s">
        <x:v>364</x:v>
      </x:c>
      <x:c r="H5" s="29" t="s">
        <x:v>21</x:v>
      </x:c>
      <x:c r="I5" s="29" t="s">
        <x:v>20</x:v>
      </x:c>
    </x:row>
    <x:row r="6" ht="57.25" customHeight="1">
      <x:c r="A6" s="13" t="s">
        <x:v>365</x:v>
      </x:c>
      <x:c r="B6" s="13" t="s">
        <x:v>366</x:v>
      </x:c>
      <x:c r="C6" s="19" t="s">
        <x:v>367</x:v>
      </x:c>
      <x:c r="D6" s="13" t="s">
        <x:v>39</x:v>
      </x:c>
      <x:c r="E6" s="19" t="s">
        <x:v>368</x:v>
      </x:c>
      <x:c r="F6" s="13" t="s">
        <x:v>295</x:v>
      </x:c>
      <x:c r="G6" s="13" t="s">
        <x:v>290</x:v>
      </x:c>
      <x:c r="H6" s="13" t="s">
        <x:v>369</x:v>
      </x:c>
      <x:c r="I6" s="19" t="s">
        <x:v>370</x:v>
      </x:c>
    </x:row>
    <x:row r="7" ht="57.25" customHeight="1">
      <x:c r="A7" s="13" t="s">
        <x:v>371</x:v>
      </x:c>
      <x:c r="B7" s="13" t="s">
        <x:v>366</x:v>
      </x:c>
      <x:c r="C7" s="19" t="s">
        <x:v>372</x:v>
      </x:c>
      <x:c r="D7" s="13" t="s">
        <x:v>159</x:v>
      </x:c>
      <x:c r="E7" s="19" t="s">
        <x:v>373</x:v>
      </x:c>
      <x:c r="F7" s="13" t="s">
        <x:v>219</x:v>
      </x:c>
      <x:c r="G7" s="13" t="s">
        <x:v>314</x:v>
      </x:c>
      <x:c r="H7" s="13" t="s">
        <x:v>369</x:v>
      </x:c>
      <x:c r="I7" s="19" t="s">
        <x:v>374</x:v>
      </x:c>
    </x:row>
    <x:row r="8" ht="57.25" customHeight="1">
      <x:c r="A8" s="13" t="s">
        <x:v>375</x:v>
      </x:c>
      <x:c r="B8" s="13" t="s">
        <x:v>366</x:v>
      </x:c>
      <x:c r="C8" s="19" t="s">
        <x:v>376</x:v>
      </x:c>
      <x:c r="D8" s="13" t="s">
        <x:v>157</x:v>
      </x:c>
      <x:c r="E8" s="19" t="str">
        <x:v>Could delay the project closeout review after work is done</x:v>
      </x:c>
      <x:c r="F8" s="13" t="s">
        <x:v>219</x:v>
      </x:c>
      <x:c r="G8" s="13" t="s">
        <x:v>377</x:v>
      </x:c>
      <x:c r="H8" s="13" t="s">
        <x:v>369</x:v>
      </x:c>
      <x:c r="I8" s="19" t="s">
        <x:v>378</x:v>
      </x:c>
    </x:row>
    <x:row r="9" ht="57.25" customHeight="1">
      <x:c r="A9" s="13" t="s">
        <x:v>379</x:v>
      </x:c>
      <x:c r="B9" s="13" t="s">
        <x:v>380</x:v>
      </x:c>
      <x:c r="C9" s="19" t="s">
        <x:v>381</x:v>
      </x:c>
      <x:c r="D9" s="13" t="s">
        <x:v>29</x:v>
      </x:c>
      <x:c r="E9" s="19" t="s">
        <x:v>382</x:v>
      </x:c>
      <x:c r="F9" s="13" t="s">
        <x:v>208</x:v>
      </x:c>
      <x:c r="G9" s="13" t="s">
        <x:v>307</x:v>
      </x:c>
      <x:c r="H9" s="13" t="s">
        <x:v>369</x:v>
      </x:c>
      <x:c r="I9" s="19" t="s">
        <x:v>383</x:v>
      </x:c>
    </x:row>
    <x:row r="10" ht="57.25" customHeight="1">
      <x:c r="A10" s="13" t="s">
        <x:v>384</x:v>
      </x:c>
      <x:c r="B10" s="13" t="s">
        <x:v>380</x:v>
      </x:c>
      <x:c r="C10" s="19" t="s">
        <x:v>385</x:v>
      </x:c>
      <x:c r="D10" s="13" t="s">
        <x:v>148</x:v>
      </x:c>
      <x:c r="E10" s="19" t="s">
        <x:v>386</x:v>
      </x:c>
      <x:c r="F10" s="13" t="s">
        <x:v>219</x:v>
      </x:c>
      <x:c r="G10" s="13" t="s">
        <x:v>387</x:v>
      </x:c>
      <x:c r="H10" s="13" t="s">
        <x:v>369</x:v>
      </x:c>
      <x:c r="I10" s="19" t="s">
        <x:v>388</x:v>
      </x:c>
    </x:row>
    <x:row r="11" ht="57.25" customHeight="1">
      <x:c r="A11" s="13" t="s">
        <x:v>389</x:v>
      </x:c>
      <x:c r="B11" s="13" t="s">
        <x:v>390</x:v>
      </x:c>
      <x:c r="C11" s="19" t="s">
        <x:v>391</x:v>
      </x:c>
      <x:c r="D11" s="13" t="s">
        <x:v>39</x:v>
      </x:c>
      <x:c r="E11" s="19" t="s">
        <x:v>392</x:v>
      </x:c>
      <x:c r="F11" s="13" t="s">
        <x:v>295</x:v>
      </x:c>
      <x:c r="G11" s="13" t="s">
        <x:v>290</x:v>
      </x:c>
      <x:c r="H11" s="13" t="s">
        <x:v>41</x:v>
      </x:c>
      <x:c r="I11" s="19" t="s">
        <x:v>393</x:v>
      </x:c>
    </x:row>
    <x:row r="12" ht="57.25" customHeight="1">
      <x:c r="A12" s="13" t="s">
        <x:v>394</x:v>
      </x:c>
      <x:c r="B12" s="13" t="s">
        <x:v>390</x:v>
      </x:c>
      <x:c r="C12" s="19" t="s">
        <x:v>395</x:v>
      </x:c>
      <x:c r="D12" s="13" t="s">
        <x:v>159</x:v>
      </x:c>
      <x:c r="E12" s="19" t="s">
        <x:v>396</x:v>
      </x:c>
      <x:c r="F12" s="13" t="s">
        <x:v>219</x:v>
      </x:c>
      <x:c r="G12" s="13" t="s">
        <x:v>315</x:v>
      </x:c>
      <x:c r="H12" s="13" t="s">
        <x:v>369</x:v>
      </x:c>
      <x:c r="I12" s="19" t="s">
        <x:v>397</x:v>
      </x:c>
    </x:row>
    <x:row r="13" ht="57.25" customHeight="1">
      <x:c r="A13" s="13" t="s">
        <x:v>398</x:v>
      </x:c>
      <x:c r="B13" s="13" t="s">
        <x:v>399</x:v>
      </x:c>
      <x:c r="C13" s="19" t="str">
        <x:v>Use a full project-control closeout gate instead of partial closeout</x:v>
      </x:c>
      <x:c r="D13" s="13" t="s">
        <x:v>142</x:v>
      </x:c>
      <x:c r="E13" s="19" t="str">
        <x:v>Keeps project review and readiness decisions clear</x:v>
      </x:c>
      <x:c r="F13" s="13" t="s">
        <x:v>219</x:v>
      </x:c>
      <x:c r="G13" s="13" t="s">
        <x:v>301</x:v>
      </x:c>
      <x:c r="H13" s="13" t="s">
        <x:v>400</x:v>
      </x:c>
      <x:c r="I13" s="19" t="str">
        <x:v>Keep all illustrative gates before sample closeout</x:v>
      </x:c>
    </x:row>
    <x:row r="14" ht="57.25" customHeight="1">
      <x:c r="A14" s="13" t="s">
        <x:v>401</x:v>
      </x:c>
      <x:c r="B14" s="13" t="s">
        <x:v>399</x:v>
      </x:c>
      <x:c r="C14" s="19" t="s">
        <x:v>402</x:v>
      </x:c>
      <x:c r="D14" s="13" t="s">
        <x:v>29</x:v>
      </x:c>
      <x:c r="E14" s="19" t="s">
        <x:v>403</x:v>
      </x:c>
      <x:c r="F14" s="13" t="s">
        <x:v>219</x:v>
      </x:c>
      <x:c r="G14" s="13" t="s">
        <x:v>290</x:v>
      </x:c>
      <x:c r="H14" s="13" t="s">
        <x:v>400</x:v>
      </x:c>
      <x:c r="I14" s="19" t="s">
        <x:v>404</x:v>
      </x:c>
    </x:row>
    <x:row r="15" ht="57.25" customHeight="1">
      <x:c r="A15" s="13" t="s">
        <x:v>405</x:v>
      </x:c>
      <x:c r="B15" s="13" t="s">
        <x:v>406</x:v>
      </x:c>
      <x:c r="C15" s="19" t="str">
        <x:v>Sample closeout depends on project review, readiness tracking, and fictional sponsor closure</x:v>
      </x:c>
      <x:c r="D15" s="13" t="s">
        <x:v>157</x:v>
      </x:c>
      <x:c r="E15" s="19" t="str">
        <x:v>This sets the final Week 12 sample closeout condition</x:v>
      </x:c>
      <x:c r="F15" s="13" t="s">
        <x:v>295</x:v>
      </x:c>
      <x:c r="G15" s="13" t="s">
        <x:v>407</x:v>
      </x:c>
      <x:c r="H15" s="13" t="s">
        <x:v>369</x:v>
      </x:c>
      <x:c r="I15" s="19" t="str">
        <x:v>Track these items as one linked closeout gate</x:v>
      </x:c>
    </x:row>
    <x:row r="16" ht="24" customHeight="1">
      <x:c r="A16" s="61" t="s">
        <x:v>102</x:v>
      </x:c>
      <x:c r="B16" s="61"/>
      <x:c r="C16" s="61"/>
      <x:c r="D16" s="61"/>
      <x:c r="E16" s="61"/>
      <x:c r="F16" s="61"/>
      <x:c r="G16" s="61"/>
      <x:c r="H16" s="61"/>
      <x:c r="I16" s="61"/>
    </x:row>
  </x:sheetData>
  <x:mergeCells>
    <x:mergeCell ref="A1:I1"/>
    <x:mergeCell ref="A2:I2"/>
    <x:mergeCell ref="A3:I3"/>
    <x:mergeCell ref="A16:I16"/>
  </x:mergeCells>
  <x:conditionalFormatting sqref="F6:F15">
    <x:cfRule type="expression" dxfId="13" priority="29">
      <x:formula>F6="Critical"</x:formula>
    </x:cfRule>
    <x:cfRule type="expression" dxfId="12" priority="30">
      <x:formula>F6="High"</x:formula>
    </x:cfRule>
  </x:conditionalFormatting>
  <x:conditionalFormatting sqref="H6:H15">
    <x:cfRule type="expression" dxfId="11" priority="31">
      <x:formula>OR($H6="Complete",$H6="Approved",$H6="Available",$H6="Confirmed",$H6="On Track")</x:formula>
    </x:cfRule>
    <x:cfRule type="expression" dxfId="10" priority="32">
      <x:formula>OR($H6="In Progress",$H6="Open",$H6="Watch",$H6="In Review")</x:formula>
    </x:cfRule>
    <x:cfRule type="expression" dxfId="9" priority="33">
      <x:formula>OR($H6="At Risk",$H6="Critical")</x:formula>
    </x:cfRule>
    <x:cfRule type="expression" dxfId="8" priority="34">
      <x:formula>OR($H6="Not Started",$H6="Review")</x:formula>
    </x:cfRule>
  </x:conditionalFormatting>
  <x:dataValidations count="1">
    <x:dataValidation type="list" sqref="H6:H15">
      <x:formula1>"Open,At Risk,Approved,Complete"</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4"/>
  <x:cols>
    <x:col min="1" max="1" width="18" customWidth="1"/>
    <x:col min="2" max="2" width="20" customWidth="1"/>
    <x:col min="3" max="3" width="14" customWidth="1"/>
    <x:col min="4" max="4" width="40" customWidth="1"/>
    <x:col min="5" max="5" width="16" customWidth="1"/>
    <x:col min="6" max="6" width="34" customWidth="1"/>
    <x:col min="7" max="8" width="30" customWidth="1"/>
  </x:cols>
  <x:sheetData>
    <x:row r="1" ht="36" customHeight="1">
      <x:c r="A1" s="58" t="s">
        <x:v>408</x:v>
      </x:c>
      <x:c r="B1" s="58"/>
      <x:c r="C1" s="58"/>
      <x:c r="D1" s="58"/>
      <x:c r="E1" s="58"/>
      <x:c r="F1" s="58"/>
      <x:c r="G1" s="58"/>
      <x:c r="H1" s="58"/>
    </x:row>
    <x:row r="2" ht="42" customHeight="1">
      <x:c r="A2" s="95" t="str">
        <x:v>Sample closeout and reuse controls. Fictional, illustrative, and unclassified sample. Not technical instructions, Government work product, federal contract past performance, maintenance release, airworthiness approval, technical authority, or Government acceptance.</x:v>
      </x:c>
      <x:c r="B2" s="59"/>
      <x:c r="C2" s="59"/>
      <x:c r="D2" s="59"/>
      <x:c r="E2" s="59"/>
      <x:c r="F2" s="59"/>
      <x:c r="G2" s="59"/>
      <x:c r="H2" s="59"/>
    </x:row>
    <x:row r="3" ht="7" customHeight="1">
      <x:c r="A3" s="66"/>
      <x:c r="B3" s="66"/>
      <x:c r="C3" s="66"/>
      <x:c r="D3" s="66"/>
      <x:c r="E3" s="66"/>
      <x:c r="F3" s="66"/>
      <x:c r="G3" s="66"/>
      <x:c r="H3" s="66"/>
    </x:row>
    <x:row r="4" ht="15">
      <x:c r="A4" s="3"/>
      <x:c r="B4" s="3"/>
      <x:c r="C4" s="3"/>
      <x:c r="D4" s="3"/>
      <x:c r="E4" s="3"/>
      <x:c r="F4" s="3"/>
      <x:c r="G4" s="3"/>
      <x:c r="H4" s="3"/>
    </x:row>
    <x:row r="5" ht="16">
      <x:c r="A5" s="52" t="s">
        <x:v>409</x:v>
      </x:c>
      <x:c r="B5" s="52"/>
      <x:c r="C5" s="52"/>
      <x:c r="D5" s="52"/>
      <x:c r="E5" s="52"/>
      <x:c r="F5" s="52"/>
      <x:c r="G5" s="52"/>
      <x:c r="H5" s="52"/>
    </x:row>
    <x:row r="6" ht="34" customHeight="1">
      <x:c r="A6" s="29" t="s">
        <x:v>410</x:v>
      </x:c>
      <x:c r="B6" s="29" t="s">
        <x:v>411</x:v>
      </x:c>
      <x:c r="C6" s="29" t="s">
        <x:v>412</x:v>
      </x:c>
      <x:c r="D6" s="29" t="s">
        <x:v>413</x:v>
      </x:c>
      <x:c r="E6" s="29" t="s">
        <x:v>414</x:v>
      </x:c>
      <x:c r="F6" s="29" t="s">
        <x:v>18</x:v>
      </x:c>
      <x:c r="G6" s="29" t="s">
        <x:v>415</x:v>
      </x:c>
      <x:c r="H6" s="29" t="s">
        <x:v>21</x:v>
      </x:c>
    </x:row>
    <x:row r="7" ht="105">
      <x:c r="A7" s="13" t="s">
        <x:v>416</x:v>
      </x:c>
      <x:c r="B7" s="13" t="s">
        <x:v>417</x:v>
      </x:c>
      <x:c r="C7" s="19" t="s">
        <x:v>418</x:v>
      </x:c>
      <x:c r="D7" s="19" t="s">
        <x:v>419</x:v>
      </x:c>
      <x:c r="E7" s="19" t="s">
        <x:v>420</x:v>
      </x:c>
      <x:c r="F7" s="19" t="s">
        <x:v>29</x:v>
      </x:c>
      <x:c r="G7" s="19" t="s">
        <x:v>421</x:v>
      </x:c>
      <x:c r="H7" s="13" t="s">
        <x:v>32</x:v>
      </x:c>
    </x:row>
    <x:row r="8" ht="60">
      <x:c r="A8" s="13" t="s">
        <x:v>422</x:v>
      </x:c>
      <x:c r="B8" s="13" t="s">
        <x:v>423</x:v>
      </x:c>
      <x:c r="C8" s="19" t="s">
        <x:v>424</x:v>
      </x:c>
      <x:c r="D8" s="19" t="s">
        <x:v>425</x:v>
      </x:c>
      <x:c r="E8" s="19" t="s">
        <x:v>426</x:v>
      </x:c>
      <x:c r="F8" s="19" t="s">
        <x:v>39</x:v>
      </x:c>
      <x:c r="G8" s="19" t="s">
        <x:v>427</x:v>
      </x:c>
      <x:c r="H8" s="13" t="s">
        <x:v>51</x:v>
      </x:c>
    </x:row>
    <x:row r="9" ht="75">
      <x:c r="A9" s="13" t="s">
        <x:v>428</x:v>
      </x:c>
      <x:c r="B9" s="13" t="s">
        <x:v>429</x:v>
      </x:c>
      <x:c r="C9" s="19" t="s">
        <x:v>430</x:v>
      </x:c>
      <x:c r="D9" s="19" t="s">
        <x:v>431</x:v>
      </x:c>
      <x:c r="E9" s="19" t="s">
        <x:v>432</x:v>
      </x:c>
      <x:c r="F9" s="19" t="s">
        <x:v>148</x:v>
      </x:c>
      <x:c r="G9" s="19" t="s">
        <x:v>433</x:v>
      </x:c>
      <x:c r="H9" s="13" t="s">
        <x:v>51</x:v>
      </x:c>
    </x:row>
    <x:row r="10" ht="90">
      <x:c r="A10" s="13" t="s">
        <x:v>434</x:v>
      </x:c>
      <x:c r="B10" s="13" t="s">
        <x:v>435</x:v>
      </x:c>
      <x:c r="C10" s="19" t="s">
        <x:v>436</x:v>
      </x:c>
      <x:c r="D10" s="19" t="s">
        <x:v>437</x:v>
      </x:c>
      <x:c r="E10" s="19" t="s">
        <x:v>438</x:v>
      </x:c>
      <x:c r="F10" s="19" t="s">
        <x:v>157</x:v>
      </x:c>
      <x:c r="G10" s="19" t="s">
        <x:v>439</x:v>
      </x:c>
      <x:c r="H10" s="13" t="s">
        <x:v>70</x:v>
      </x:c>
    </x:row>
    <x:row r="11" ht="60">
      <x:c r="A11" s="13" t="s">
        <x:v>440</x:v>
      </x:c>
      <x:c r="B11" s="13" t="s">
        <x:v>441</x:v>
      </x:c>
      <x:c r="C11" s="19" t="s">
        <x:v>442</x:v>
      </x:c>
      <x:c r="D11" s="19" t="s">
        <x:v>443</x:v>
      </x:c>
      <x:c r="E11" s="19" t="s">
        <x:v>444</x:v>
      </x:c>
      <x:c r="F11" s="19" t="s">
        <x:v>29</x:v>
      </x:c>
      <x:c r="G11" s="19" t="s">
        <x:v>445</x:v>
      </x:c>
      <x:c r="H11" s="13" t="s">
        <x:v>32</x:v>
      </x:c>
    </x:row>
    <x:row r="12">
      <x:c r="A12" s="13"/>
      <x:c r="B12" s="13"/>
      <x:c r="C12" s="19"/>
      <x:c r="D12" s="19"/>
      <x:c r="E12" s="19"/>
      <x:c r="F12" s="19"/>
      <x:c r="G12" s="19"/>
      <x:c r="H12" s="13"/>
    </x:row>
    <x:row r="13">
      <x:c r="A13" s="13"/>
      <x:c r="B13" s="13"/>
      <x:c r="C13" s="19"/>
      <x:c r="D13" s="19"/>
      <x:c r="E13" s="19"/>
      <x:c r="F13" s="19"/>
      <x:c r="G13" s="19"/>
      <x:c r="H13" s="13"/>
    </x:row>
    <x:row r="14">
      <x:c r="A14" s="63" t="s">
        <x:v>446</x:v>
      </x:c>
      <x:c r="B14" s="63"/>
      <x:c r="C14" s="75"/>
      <x:c r="D14" s="75"/>
      <x:c r="E14" s="75"/>
      <x:c r="F14" s="75"/>
      <x:c r="G14" s="75"/>
      <x:c r="H14" s="63"/>
    </x:row>
    <x:row r="15" ht="34" customHeight="1">
      <x:c r="A15" s="28" t="s">
        <x:v>447</x:v>
      </x:c>
      <x:c r="B15" s="28" t="s">
        <x:v>18</x:v>
      </x:c>
      <x:c r="C15" s="32" t="s">
        <x:v>448</x:v>
      </x:c>
      <x:c r="D15" s="32" t="s">
        <x:v>328</x:v>
      </x:c>
      <x:c r="E15" s="32" t="s">
        <x:v>21</x:v>
      </x:c>
      <x:c r="F15" s="32" t="s">
        <x:v>19</x:v>
      </x:c>
      <x:c r="G15" s="32" t="s">
        <x:v>449</x:v>
      </x:c>
      <x:c r="H15" s="28" t="s">
        <x:v>450</x:v>
      </x:c>
    </x:row>
    <x:row r="16" ht="30">
      <x:c r="A16" s="13" t="str">
        <x:v>Sample closeout package</x:v>
      </x:c>
      <x:c r="B16" s="13" t="s">
        <x:v>29</x:v>
      </x:c>
      <x:c r="C16" s="19" t="s">
        <x:v>407</x:v>
      </x:c>
      <x:c r="D16" s="19" t="str">
        <x:v>Project reviews, closeout record, and final sample summary</x:v>
      </x:c>
      <x:c r="E16" s="19" t="s">
        <x:v>70</x:v>
      </x:c>
      <x:c r="F16" s="19" t="str">
        <x:v>Shows the illustrative project-control record is complete</x:v>
      </x:c>
      <x:c r="G16" s="19" t="str">
        <x:v>Prepare it before the final project review</x:v>
      </x:c>
      <x:c r="H16" s="13" t="s">
        <x:v>451</x:v>
      </x:c>
    </x:row>
    <x:row r="17" ht="30">
      <x:c r="A17" s="13" t="s">
        <x:v>452</x:v>
      </x:c>
      <x:c r="B17" s="13" t="s">
        <x:v>169</x:v>
      </x:c>
      <x:c r="C17" s="19" t="s">
        <x:v>407</x:v>
      </x:c>
      <x:c r="D17" s="19" t="s">
        <x:v>453</x:v>
      </x:c>
      <x:c r="E17" s="19" t="s">
        <x:v>70</x:v>
      </x:c>
      <x:c r="F17" s="19" t="s">
        <x:v>454</x:v>
      </x:c>
      <x:c r="G17" s="19" t="s">
        <x:v>455</x:v>
      </x:c>
      <x:c r="H17" s="13" t="s">
        <x:v>456</x:v>
      </x:c>
    </x:row>
    <x:row r="18" ht="15">
      <x:c r="A18" s="13" t="s">
        <x:v>457</x:v>
      </x:c>
      <x:c r="B18" s="13" t="s">
        <x:v>29</x:v>
      </x:c>
      <x:c r="C18" s="19" t="s">
        <x:v>407</x:v>
      </x:c>
      <x:c r="D18" s="19" t="s">
        <x:v>458</x:v>
      </x:c>
      <x:c r="E18" s="19" t="s">
        <x:v>70</x:v>
      </x:c>
      <x:c r="F18" s="19" t="s">
        <x:v>459</x:v>
      </x:c>
      <x:c r="G18" s="19" t="s">
        <x:v>460</x:v>
      </x:c>
      <x:c r="H18" s="13" t="s">
        <x:v>461</x:v>
      </x:c>
    </x:row>
    <x:row r="19" ht="30">
      <x:c r="A19" s="13" t="s">
        <x:v>462</x:v>
      </x:c>
      <x:c r="B19" s="13" t="s">
        <x:v>142</x:v>
      </x:c>
      <x:c r="C19" s="19" t="s">
        <x:v>407</x:v>
      </x:c>
      <x:c r="D19" s="19" t="s">
        <x:v>463</x:v>
      </x:c>
      <x:c r="E19" s="19" t="s">
        <x:v>70</x:v>
      </x:c>
      <x:c r="F19" s="19" t="s">
        <x:v>464</x:v>
      </x:c>
      <x:c r="G19" s="19" t="s">
        <x:v>465</x:v>
      </x:c>
      <x:c r="H19" s="13" t="s">
        <x:v>466</x:v>
      </x:c>
    </x:row>
    <x:row r="20" ht="15">
      <x:c r="A20" s="13" t="s">
        <x:v>467</x:v>
      </x:c>
      <x:c r="B20" s="13" t="s">
        <x:v>29</x:v>
      </x:c>
      <x:c r="C20" s="19" t="s">
        <x:v>407</x:v>
      </x:c>
      <x:c r="D20" s="19" t="s">
        <x:v>468</x:v>
      </x:c>
      <x:c r="E20" s="19" t="s">
        <x:v>70</x:v>
      </x:c>
      <x:c r="F20" s="19" t="s">
        <x:v>469</x:v>
      </x:c>
      <x:c r="G20" s="19" t="s">
        <x:v>470</x:v>
      </x:c>
      <x:c r="H20" s="13" t="s">
        <x:v>471</x:v>
      </x:c>
    </x:row>
    <x:row r="21" ht="15">
      <x:c r="A21" s="61" t="s">
        <x:v>102</x:v>
      </x:c>
      <x:c r="B21" s="61"/>
      <x:c r="C21" s="61"/>
      <x:c r="D21" s="61"/>
      <x:c r="E21" s="61"/>
      <x:c r="F21" s="61"/>
      <x:c r="G21" s="61"/>
      <x:c r="H21" s="61"/>
    </x:row>
  </x:sheetData>
  <x:mergeCells>
    <x:mergeCell ref="A1:H1"/>
    <x:mergeCell ref="A2:H2"/>
    <x:mergeCell ref="A3:H3"/>
    <x:mergeCell ref="A21:H21"/>
    <x:mergeCell ref="A5:H5"/>
    <x:mergeCell ref="A14:H14"/>
  </x:mergeCells>
  <x:conditionalFormatting sqref="E16:E20">
    <x:cfRule type="expression" dxfId="7" priority="81">
      <x:formula>OR($E16="Complete",$E16="Approved",$E16="Available",$E16="Confirmed",$E16="On Track")</x:formula>
    </x:cfRule>
    <x:cfRule type="expression" dxfId="6" priority="82">
      <x:formula>OR($E16="In Progress",$E16="Open",$E16="Watch",$E16="In Review")</x:formula>
    </x:cfRule>
    <x:cfRule type="expression" dxfId="5" priority="83">
      <x:formula>OR($E16="At Risk",$E16="Critical")</x:formula>
    </x:cfRule>
    <x:cfRule type="expression" dxfId="4" priority="84">
      <x:formula>OR($E16="Not Started",$E16="Review")</x:formula>
    </x:cfRule>
  </x:conditionalFormatting>
  <x:conditionalFormatting sqref="H7:H11">
    <x:cfRule type="expression" dxfId="3" priority="77">
      <x:formula>OR($H7="Complete",$H7="Approved",$H7="Available",$H7="Confirmed",$H7="On Track")</x:formula>
    </x:cfRule>
    <x:cfRule type="expression" dxfId="2" priority="78">
      <x:formula>OR($H7="In Progress",$H7="Open",$H7="Watch",$H7="In Review")</x:formula>
    </x:cfRule>
    <x:cfRule type="expression" dxfId="1" priority="79">
      <x:formula>OR($H7="At Risk",$H7="Critical")</x:formula>
    </x:cfRule>
    <x:cfRule type="expression" dxfId="0" priority="80">
      <x:formula>OR($H7="Not Started",$H7="Review")</x:formula>
    </x:cfRule>
  </x:conditionalFormatting>
  <x:dataValidations count="1">
    <x:dataValidation type="list" sqref="H7:H11 E16:E20">
      <x:formula1>"Complete,In Progress,Not Started"</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4"/>
  <x:cols>
    <x:col min="1" max="1" width="24" customWidth="1"/>
    <x:col min="2" max="2" width="18" customWidth="1"/>
    <x:col min="3" max="3" width="48" customWidth="1"/>
    <x:col min="4" max="4" width="19" customWidth="1"/>
    <x:col min="5" max="8" width="12" customWidth="1"/>
  </x:cols>
  <x:sheetData>
    <x:row r="1" ht="36" customHeight="1">
      <x:c r="A1" s="58" t="s">
        <x:v>472</x:v>
      </x:c>
      <x:c r="B1" s="58"/>
      <x:c r="C1" s="58"/>
      <x:c r="D1" s="58"/>
      <x:c r="E1" s="76"/>
      <x:c r="F1" s="76"/>
      <x:c r="G1" s="76"/>
      <x:c r="H1" s="76"/>
    </x:row>
    <x:row r="2" ht="42" customHeight="1">
      <x:c r="A2" s="95" t="str">
        <x:v>Reference palette for this fictional public sample. Fictional, illustrative, and unclassified sample. Not technical instructions, Government work product, federal contract past performance, maintenance release, airworthiness approval, technical authority, or Government acceptance.</x:v>
      </x:c>
      <x:c r="B2" s="59"/>
      <x:c r="C2" s="59"/>
      <x:c r="D2" s="59"/>
      <x:c r="E2" s="77"/>
      <x:c r="F2" s="77"/>
      <x:c r="G2" s="77"/>
      <x:c r="H2" s="77"/>
    </x:row>
    <x:row r="3" ht="7" customHeight="1">
      <x:c r="A3" s="66"/>
      <x:c r="B3" s="66"/>
      <x:c r="C3" s="66"/>
      <x:c r="D3" s="66"/>
      <x:c r="E3" s="72"/>
      <x:c r="F3" s="72"/>
      <x:c r="G3" s="72"/>
      <x:c r="H3" s="72"/>
    </x:row>
    <x:row r="4" ht="15">
      <x:c r="A4" s="4"/>
      <x:c r="B4" s="4"/>
      <x:c r="C4" s="4"/>
      <x:c r="D4" s="4"/>
      <x:c r="E4" s="4"/>
      <x:c r="F4" s="4"/>
      <x:c r="G4" s="4"/>
      <x:c r="H4" s="4"/>
    </x:row>
    <x:row r="5" ht="34" customHeight="1">
      <x:c r="A5" s="29" t="s">
        <x:v>473</x:v>
      </x:c>
      <x:c r="B5" s="29" t="s">
        <x:v>474</x:v>
      </x:c>
      <x:c r="C5" s="29" t="s">
        <x:v>475</x:v>
      </x:c>
      <x:c r="D5" s="29" t="s">
        <x:v>476</x:v>
      </x:c>
      <x:c r="E5" s="4"/>
      <x:c r="F5" s="4"/>
      <x:c r="G5" s="4"/>
      <x:c r="H5" s="4"/>
    </x:row>
    <x:row r="6" ht="32" customHeight="1">
      <x:c r="A6" s="11" t="s">
        <x:v>477</x:v>
      </x:c>
      <x:c r="B6" s="11" t="s">
        <x:v>478</x:v>
      </x:c>
      <x:c r="C6" s="11" t="s">
        <x:v>479</x:v>
      </x:c>
      <x:c r="D6" s="33"/>
      <x:c r="E6" s="4"/>
      <x:c r="F6" s="4"/>
      <x:c r="G6" s="4"/>
      <x:c r="H6" s="4"/>
    </x:row>
    <x:row r="7" ht="32" customHeight="1">
      <x:c r="A7" s="11" t="s">
        <x:v>480</x:v>
      </x:c>
      <x:c r="B7" s="11" t="s">
        <x:v>481</x:v>
      </x:c>
      <x:c r="C7" s="11" t="s">
        <x:v>482</x:v>
      </x:c>
      <x:c r="D7" s="34"/>
      <x:c r="E7" s="4"/>
      <x:c r="F7" s="4"/>
      <x:c r="G7" s="4"/>
      <x:c r="H7" s="4"/>
    </x:row>
    <x:row r="8" ht="32" customHeight="1">
      <x:c r="A8" s="11" t="s">
        <x:v>483</x:v>
      </x:c>
      <x:c r="B8" s="11" t="s">
        <x:v>484</x:v>
      </x:c>
      <x:c r="C8" s="11" t="s">
        <x:v>485</x:v>
      </x:c>
      <x:c r="D8" s="35"/>
      <x:c r="E8" s="4"/>
      <x:c r="F8" s="4"/>
      <x:c r="G8" s="4"/>
      <x:c r="H8" s="4"/>
    </x:row>
    <x:row r="9" ht="32" customHeight="1">
      <x:c r="A9" s="11" t="s">
        <x:v>486</x:v>
      </x:c>
      <x:c r="B9" s="11" t="s">
        <x:v>487</x:v>
      </x:c>
      <x:c r="C9" s="11" t="s">
        <x:v>488</x:v>
      </x:c>
      <x:c r="D9" s="36"/>
      <x:c r="E9" s="4"/>
      <x:c r="F9" s="4"/>
      <x:c r="G9" s="4"/>
      <x:c r="H9" s="4"/>
    </x:row>
    <x:row r="10" ht="32" customHeight="1">
      <x:c r="A10" s="11" t="s">
        <x:v>489</x:v>
      </x:c>
      <x:c r="B10" s="11" t="s">
        <x:v>490</x:v>
      </x:c>
      <x:c r="C10" s="11" t="s">
        <x:v>491</x:v>
      </x:c>
      <x:c r="D10" s="37"/>
      <x:c r="E10" s="4"/>
      <x:c r="F10" s="4"/>
      <x:c r="G10" s="4"/>
      <x:c r="H10" s="4"/>
    </x:row>
    <x:row r="11" ht="32" customHeight="1">
      <x:c r="A11" s="11" t="s">
        <x:v>492</x:v>
      </x:c>
      <x:c r="B11" s="11" t="s">
        <x:v>493</x:v>
      </x:c>
      <x:c r="C11" s="11" t="s">
        <x:v>494</x:v>
      </x:c>
      <x:c r="D11" s="38"/>
      <x:c r="E11" s="4"/>
      <x:c r="F11" s="4"/>
      <x:c r="G11" s="4"/>
      <x:c r="H11" s="4"/>
    </x:row>
    <x:row r="12" ht="32" customHeight="1">
      <x:c r="A12" s="11" t="s">
        <x:v>495</x:v>
      </x:c>
      <x:c r="B12" s="11" t="s">
        <x:v>496</x:v>
      </x:c>
      <x:c r="C12" s="11" t="s">
        <x:v>497</x:v>
      </x:c>
      <x:c r="D12" s="39"/>
      <x:c r="E12" s="4"/>
      <x:c r="F12" s="4"/>
      <x:c r="G12" s="4"/>
      <x:c r="H12" s="4"/>
    </x:row>
    <x:row r="13" ht="32" customHeight="1">
      <x:c r="A13" s="22"/>
      <x:c r="B13" s="22"/>
      <x:c r="C13" s="22"/>
      <x:c r="D13" s="22"/>
      <x:c r="E13" s="4"/>
      <x:c r="F13" s="4"/>
      <x:c r="G13" s="4"/>
      <x:c r="H13" s="4"/>
    </x:row>
    <x:row r="14" ht="32" customHeight="1">
      <x:c r="A14" s="22"/>
      <x:c r="B14" s="22"/>
      <x:c r="C14" s="22"/>
      <x:c r="D14" s="22"/>
      <x:c r="E14" s="4"/>
      <x:c r="F14" s="4"/>
      <x:c r="G14" s="4"/>
      <x:c r="H14" s="4"/>
    </x:row>
    <x:row r="15" ht="34" customHeight="1">
      <x:c r="A15" s="28" t="s">
        <x:v>21</x:v>
      </x:c>
      <x:c r="B15" s="28" t="s">
        <x:v>498</x:v>
      </x:c>
      <x:c r="C15" s="28" t="s">
        <x:v>499</x:v>
      </x:c>
      <x:c r="D15" s="28" t="s">
        <x:v>475</x:v>
      </x:c>
      <x:c r="E15" s="4"/>
      <x:c r="F15" s="4"/>
      <x:c r="G15" s="4"/>
      <x:c r="H15" s="4"/>
    </x:row>
    <x:row r="16" ht="32" customHeight="1">
      <x:c r="A16" s="11" t="s">
        <x:v>500</x:v>
      </x:c>
      <x:c r="B16" s="40" t="s">
        <x:v>501</x:v>
      </x:c>
      <x:c r="C16" s="40" t="s">
        <x:v>502</x:v>
      </x:c>
      <x:c r="D16" s="11" t="s">
        <x:v>503</x:v>
      </x:c>
      <x:c r="E16" s="4"/>
      <x:c r="F16" s="4"/>
      <x:c r="G16" s="4"/>
      <x:c r="H16" s="4"/>
    </x:row>
    <x:row r="17" ht="32" customHeight="1">
      <x:c r="A17" s="11" t="s">
        <x:v>504</x:v>
      </x:c>
      <x:c r="B17" s="41" t="s">
        <x:v>505</x:v>
      </x:c>
      <x:c r="C17" s="41" t="s">
        <x:v>506</x:v>
      </x:c>
      <x:c r="D17" s="11" t="s">
        <x:v>507</x:v>
      </x:c>
      <x:c r="E17" s="4"/>
      <x:c r="F17" s="4"/>
      <x:c r="G17" s="4"/>
      <x:c r="H17" s="4"/>
    </x:row>
    <x:row r="18" ht="32" customHeight="1">
      <x:c r="A18" s="11" t="s">
        <x:v>508</x:v>
      </x:c>
      <x:c r="B18" s="42" t="s">
        <x:v>509</x:v>
      </x:c>
      <x:c r="C18" s="42" t="s">
        <x:v>510</x:v>
      </x:c>
      <x:c r="D18" s="11" t="s">
        <x:v>511</x:v>
      </x:c>
      <x:c r="E18" s="4"/>
      <x:c r="F18" s="4"/>
      <x:c r="G18" s="4"/>
      <x:c r="H18" s="4"/>
    </x:row>
    <x:row r="19" ht="32" customHeight="1">
      <x:c r="A19" s="11" t="s">
        <x:v>512</x:v>
      </x:c>
      <x:c r="B19" s="43" t="s">
        <x:v>513</x:v>
      </x:c>
      <x:c r="C19" s="43" t="s">
        <x:v>514</x:v>
      </x:c>
      <x:c r="D19" s="11" t="s">
        <x:v>515</x:v>
      </x:c>
      <x:c r="E19" s="4"/>
      <x:c r="F19" s="4"/>
      <x:c r="G19" s="4"/>
      <x:c r="H19" s="4"/>
    </x:row>
    <x:row r="20" ht="15">
      <x:c r="A20" s="22"/>
      <x:c r="B20" s="22"/>
      <x:c r="C20" s="22"/>
      <x:c r="D20" s="22"/>
      <x:c r="E20" s="4"/>
      <x:c r="F20" s="4"/>
      <x:c r="G20" s="4"/>
      <x:c r="H20" s="4"/>
    </x:row>
    <x:row r="21" ht="15">
      <x:c r="A21" s="22"/>
      <x:c r="B21" s="22"/>
      <x:c r="C21" s="22"/>
      <x:c r="D21" s="22"/>
      <x:c r="E21" s="4"/>
      <x:c r="F21" s="4"/>
      <x:c r="G21" s="4"/>
      <x:c r="H21" s="4"/>
    </x:row>
    <x:row r="22">
      <x:c r="A22" s="54" t="s">
        <x:v>516</x:v>
      </x:c>
      <x:c r="B22" s="54"/>
      <x:c r="C22" s="54"/>
      <x:c r="D22" s="54"/>
      <x:c r="E22" s="78"/>
      <x:c r="F22" s="78"/>
      <x:c r="G22" s="78"/>
      <x:c r="H22" s="78"/>
    </x:row>
    <x:row r="23">
      <x:c r="A23" s="78"/>
      <x:c r="B23" s="78"/>
      <x:c r="C23" s="78"/>
      <x:c r="D23" s="78"/>
      <x:c r="E23" s="78"/>
      <x:c r="F23" s="78"/>
      <x:c r="G23" s="78"/>
      <x:c r="H23" s="78"/>
    </x:row>
    <x:row r="24">
      <x:c r="A24" s="78"/>
      <x:c r="B24" s="78"/>
      <x:c r="C24" s="78"/>
      <x:c r="D24" s="78"/>
      <x:c r="E24" s="78"/>
      <x:c r="F24" s="78"/>
      <x:c r="G24" s="78"/>
      <x:c r="H24" s="78"/>
    </x:row>
    <x:row r="25">
      <x:c r="A25" s="78"/>
      <x:c r="B25" s="78"/>
      <x:c r="C25" s="78"/>
      <x:c r="D25" s="78"/>
      <x:c r="E25" s="78"/>
      <x:c r="F25" s="78"/>
      <x:c r="G25" s="78"/>
      <x:c r="H25" s="78"/>
    </x:row>
    <x:row r="42" ht="24" customHeight="1">
      <x:c r="A42" s="61" t="s">
        <x:v>102</x:v>
      </x:c>
      <x:c r="B42" s="61"/>
      <x:c r="C42" s="61"/>
      <x:c r="D42" s="61"/>
      <x:c r="E42" s="79"/>
      <x:c r="F42" s="79"/>
      <x:c r="G42" s="79"/>
      <x:c r="H42" s="79"/>
    </x:row>
  </x:sheetData>
  <x:mergeCells>
    <x:mergeCell ref="A1:H1"/>
    <x:mergeCell ref="A2:H2"/>
    <x:mergeCell ref="A3:H3"/>
    <x:mergeCell ref="A22:H25"/>
    <x:mergeCell ref="A42:H4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10" defaultColWidth="8.83203125" defaultRowHeight="14"/>
  <x:cols>
    <x:col min="1" max="1" width="15" customWidth="1"/>
    <x:col min="2" max="2" width="34" customWidth="1"/>
    <x:col min="3" max="4" width="28" customWidth="1"/>
    <x:col min="5" max="8" width="15" customWidth="1"/>
  </x:cols>
  <x:sheetData>
    <x:row r="1" ht="32" customHeight="1">
      <x:c r="A1" s="80" t="s">
        <x:v>517</x:v>
      </x:c>
      <x:c r="B1" s="81"/>
      <x:c r="C1" s="81"/>
      <x:c r="D1" s="81"/>
      <x:c r="E1" s="81"/>
      <x:c r="F1" s="81"/>
      <x:c r="G1" s="81"/>
      <x:c r="H1" s="82"/>
    </x:row>
    <x:row r="2" ht="42" customHeight="1">
      <x:c r="A2" s="96" t="str">
        <x:v>Public sample workbook navigation. Fictional, illustrative, and unclassified sample. Not technical instructions, Government work product, federal contract past performance, maintenance release, airworthiness approval, technical authority, or Government acceptance.</x:v>
      </x:c>
      <x:c r="B2" s="84"/>
      <x:c r="C2" s="84"/>
      <x:c r="D2" s="84"/>
      <x:c r="E2" s="84"/>
      <x:c r="F2" s="84"/>
      <x:c r="G2" s="84"/>
      <x:c r="H2" s="85"/>
    </x:row>
    <x:row r="3" ht="7" customHeight="1">
      <x:c r="A3" s="44"/>
      <x:c r="B3" s="45"/>
      <x:c r="C3" s="45"/>
      <x:c r="D3" s="45"/>
      <x:c r="E3" s="45"/>
      <x:c r="F3" s="45"/>
      <x:c r="G3" s="45"/>
      <x:c r="H3" s="46"/>
    </x:row>
    <x:row r="4">
      <x:c r="A4" s="24"/>
      <x:c r="H4" s="25"/>
    </x:row>
    <x:row r="5" ht="16">
      <x:c r="A5" s="86" t="s">
        <x:v>518</x:v>
      </x:c>
      <x:c r="B5" s="52"/>
      <x:c r="C5" s="52"/>
      <x:c r="D5" s="52"/>
      <x:c r="E5" s="52"/>
      <x:c r="F5" s="52"/>
      <x:c r="G5" s="52"/>
      <x:c r="H5" s="87"/>
    </x:row>
    <x:row r="6">
      <x:c r="A6" s="88" t="s">
        <x:v>519</x:v>
      </x:c>
      <x:c r="B6" s="89"/>
      <x:c r="C6" s="89"/>
      <x:c r="D6" s="89"/>
      <x:c r="E6" s="89"/>
      <x:c r="F6" s="89"/>
      <x:c r="G6" s="89"/>
      <x:c r="H6" s="90"/>
    </x:row>
    <x:row r="7">
      <x:c r="A7" s="88"/>
      <x:c r="B7" s="89"/>
      <x:c r="C7" s="89"/>
      <x:c r="D7" s="89"/>
      <x:c r="E7" s="89"/>
      <x:c r="F7" s="89"/>
      <x:c r="G7" s="89"/>
      <x:c r="H7" s="90"/>
    </x:row>
    <x:row r="8">
      <x:c r="A8" s="88"/>
      <x:c r="B8" s="89"/>
      <x:c r="C8" s="89"/>
      <x:c r="D8" s="89"/>
      <x:c r="E8" s="89"/>
      <x:c r="F8" s="89"/>
      <x:c r="G8" s="89"/>
      <x:c r="H8" s="90"/>
    </x:row>
    <x:row r="9">
      <x:c r="A9" s="24"/>
      <x:c r="H9" s="25"/>
    </x:row>
    <x:row r="10" ht="16">
      <x:c r="A10" s="86" t="s">
        <x:v>520</x:v>
      </x:c>
      <x:c r="B10" s="52"/>
      <x:c r="C10" s="52"/>
      <x:c r="D10" s="52"/>
      <x:c r="E10" s="52"/>
      <x:c r="F10" s="52"/>
      <x:c r="G10" s="52"/>
      <x:c r="H10" s="87"/>
    </x:row>
    <x:row r="11" ht="34" customHeight="1">
      <x:c r="A11" s="47" t="s">
        <x:v>77</x:v>
      </x:c>
      <x:c r="B11" s="29" t="s">
        <x:v>521</x:v>
      </x:c>
      <x:c r="C11" s="29" t="s">
        <x:v>522</x:v>
      </x:c>
      <x:c r="D11" s="29" t="s">
        <x:v>523</x:v>
      </x:c>
      <x:c r="H11" s="25"/>
    </x:row>
    <x:row r="12" ht="30">
      <x:c r="A12" s="26" t="s">
        <x:v>98</x:v>
      </x:c>
      <x:c r="B12" s="23" t="s">
        <x:v>524</x:v>
      </x:c>
      <x:c r="C12" s="23" t="s">
        <x:v>525</x:v>
      </x:c>
      <x:c r="D12" s="23" t="s">
        <x:v>526</x:v>
      </x:c>
      <x:c r="H12" s="25"/>
    </x:row>
    <x:row r="13" ht="15">
      <x:c r="A13" s="26" t="s">
        <x:v>79</x:v>
      </x:c>
      <x:c r="B13" s="23" t="s">
        <x:v>527</x:v>
      </x:c>
      <x:c r="C13" s="23" t="s">
        <x:v>528</x:v>
      </x:c>
      <x:c r="D13" s="23" t="s">
        <x:v>529</x:v>
      </x:c>
      <x:c r="H13" s="25"/>
    </x:row>
    <x:row r="14" ht="30">
      <x:c r="A14" s="26" t="s">
        <x:v>81</x:v>
      </x:c>
      <x:c r="B14" s="23" t="s">
        <x:v>530</x:v>
      </x:c>
      <x:c r="C14" s="23" t="s">
        <x:v>531</x:v>
      </x:c>
      <x:c r="D14" s="23" t="s">
        <x:v>532</x:v>
      </x:c>
      <x:c r="H14" s="25"/>
    </x:row>
    <x:row r="15" ht="15">
      <x:c r="A15" s="26" t="s">
        <x:v>83</x:v>
      </x:c>
      <x:c r="B15" s="23" t="s">
        <x:v>533</x:v>
      </x:c>
      <x:c r="C15" s="23" t="s">
        <x:v>534</x:v>
      </x:c>
      <x:c r="D15" s="23" t="s">
        <x:v>535</x:v>
      </x:c>
      <x:c r="H15" s="25"/>
    </x:row>
    <x:row r="16" ht="30">
      <x:c r="A16" s="26" t="s">
        <x:v>85</x:v>
      </x:c>
      <x:c r="B16" s="23" t="s">
        <x:v>536</x:v>
      </x:c>
      <x:c r="C16" s="23" t="s">
        <x:v>537</x:v>
      </x:c>
      <x:c r="D16" s="23" t="s">
        <x:v>538</x:v>
      </x:c>
      <x:c r="H16" s="25"/>
    </x:row>
    <x:row r="17" ht="30">
      <x:c r="A17" s="26" t="s">
        <x:v>87</x:v>
      </x:c>
      <x:c r="B17" s="23" t="s">
        <x:v>539</x:v>
      </x:c>
      <x:c r="C17" s="23" t="s">
        <x:v>540</x:v>
      </x:c>
      <x:c r="D17" s="23" t="s">
        <x:v>541</x:v>
      </x:c>
      <x:c r="H17" s="25"/>
    </x:row>
    <x:row r="18" ht="15">
      <x:c r="A18" s="26" t="s">
        <x:v>90</x:v>
      </x:c>
      <x:c r="B18" s="23" t="str">
        <x:v>Project-control closeout gates</x:v>
      </x:c>
      <x:c r="C18" s="23" t="s">
        <x:v>542</x:v>
      </x:c>
      <x:c r="D18" s="23" t="str">
        <x:v>Readiness and closeout visibility</x:v>
      </x:c>
      <x:c r="H18" s="25"/>
    </x:row>
    <x:row r="19" ht="30">
      <x:c r="A19" s="26" t="s">
        <x:v>93</x:v>
      </x:c>
      <x:c r="B19" s="23" t="s">
        <x:v>543</x:v>
      </x:c>
      <x:c r="C19" s="23" t="s">
        <x:v>544</x:v>
      </x:c>
      <x:c r="D19" s="23" t="s">
        <x:v>545</x:v>
      </x:c>
      <x:c r="H19" s="25"/>
    </x:row>
    <x:row r="20" ht="30">
      <x:c r="A20" s="26" t="s">
        <x:v>96</x:v>
      </x:c>
      <x:c r="B20" s="23" t="s">
        <x:v>546</x:v>
      </x:c>
      <x:c r="C20" s="23" t="s">
        <x:v>547</x:v>
      </x:c>
      <x:c r="D20" s="23" t="s">
        <x:v>548</x:v>
      </x:c>
      <x:c r="H20" s="25"/>
    </x:row>
    <x:row r="21">
      <x:c r="A21" s="26"/>
      <x:c r="B21" s="23"/>
      <x:c r="C21" s="23"/>
      <x:c r="D21" s="23"/>
      <x:c r="H21" s="25"/>
    </x:row>
    <x:row r="22">
      <x:c r="A22" s="24"/>
      <x:c r="H22" s="25"/>
    </x:row>
    <x:row r="23" ht="16">
      <x:c r="A23" s="86" t="s">
        <x:v>549</x:v>
      </x:c>
      <x:c r="B23" s="52"/>
      <x:c r="C23" s="52"/>
      <x:c r="D23" s="52"/>
      <x:c r="E23" s="52"/>
      <x:c r="F23" s="52"/>
      <x:c r="G23" s="52"/>
      <x:c r="H23" s="87"/>
    </x:row>
    <x:row r="24" ht="28" customHeight="1">
      <x:c r="A24" s="48" t="s">
        <x:v>550</x:v>
      </x:c>
      <x:c r="B24" s="91" t="s">
        <x:v>551</x:v>
      </x:c>
      <x:c r="C24" s="91"/>
      <x:c r="D24" s="91"/>
      <x:c r="E24" s="91"/>
      <x:c r="F24" s="91"/>
      <x:c r="G24" s="91"/>
      <x:c r="H24" s="92"/>
    </x:row>
    <x:row r="25" ht="28" customHeight="1">
      <x:c r="A25" s="48" t="s">
        <x:v>552</x:v>
      </x:c>
      <x:c r="B25" s="91" t="s">
        <x:v>553</x:v>
      </x:c>
      <x:c r="C25" s="91"/>
      <x:c r="D25" s="91"/>
      <x:c r="E25" s="91"/>
      <x:c r="F25" s="91"/>
      <x:c r="G25" s="91"/>
      <x:c r="H25" s="92"/>
    </x:row>
    <x:row r="26" ht="28" customHeight="1">
      <x:c r="A26" s="48" t="s">
        <x:v>554</x:v>
      </x:c>
      <x:c r="B26" s="91" t="s">
        <x:v>555</x:v>
      </x:c>
      <x:c r="C26" s="91"/>
      <x:c r="D26" s="91"/>
      <x:c r="E26" s="91"/>
      <x:c r="F26" s="91"/>
      <x:c r="G26" s="91"/>
      <x:c r="H26" s="92"/>
    </x:row>
    <x:row r="27" ht="28" customHeight="1">
      <x:c r="A27" s="48" t="s">
        <x:v>556</x:v>
      </x:c>
      <x:c r="B27" s="91" t="s">
        <x:v>557</x:v>
      </x:c>
      <x:c r="C27" s="91"/>
      <x:c r="D27" s="91"/>
      <x:c r="E27" s="91"/>
      <x:c r="F27" s="91"/>
      <x:c r="G27" s="91"/>
      <x:c r="H27" s="92"/>
    </x:row>
    <x:row r="28" ht="28" customHeight="1">
      <x:c r="A28" s="49" t="s">
        <x:v>558</x:v>
      </x:c>
      <x:c r="B28" s="93" t="s">
        <x:v>559</x:v>
      </x:c>
      <x:c r="C28" s="93"/>
      <x:c r="D28" s="93"/>
      <x:c r="E28" s="93"/>
      <x:c r="F28" s="93"/>
      <x:c r="G28" s="93"/>
      <x:c r="H28" s="94"/>
    </x:row>
  </x:sheetData>
  <x:mergeCells>
    <x:mergeCell ref="B28:H28"/>
    <x:mergeCell ref="A23:H23"/>
    <x:mergeCell ref="B24:H24"/>
    <x:mergeCell ref="B25:H25"/>
    <x:mergeCell ref="B26:H26"/>
    <x:mergeCell ref="B27:H27"/>
    <x:mergeCell ref="A1:H1"/>
    <x:mergeCell ref="A2:H2"/>
    <x:mergeCell ref="A5:H5"/>
    <x:mergeCell ref="A6:H8"/>
    <x:mergeCell ref="A10:H10"/>
  </x:mergeCells>
  <x:pageMargins left="0.7" right="0.7" top="0.75" bottom="0.75" header="0.3" footer="0.3"/>
</x:worksheet>
</file>