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Dashboard" sheetId="1" state="visible" r:id="rId3"/>
    <sheet name="Operating Rhythm Calendar" sheetId="2" state="visible" r:id="rId4"/>
    <sheet name="Meeting Register" sheetId="3" state="visible" r:id="rId5"/>
    <sheet name="Action Tracker" sheetId="4" state="visible" r:id="rId6"/>
    <sheet name="Deliverables Register" sheetId="5" state="visible" r:id="rId7"/>
    <sheet name="RAID Log" sheetId="6" state="visible" r:id="rId8"/>
    <sheet name="Decision Log" sheetId="7" state="visible" r:id="rId9"/>
    <sheet name="Document Register" sheetId="8" state="visible" r:id="rId10"/>
    <sheet name="Reporting Calendar" sheetId="9" state="visible" r:id="rId11"/>
    <sheet name="KPI Summary" sheetId="10" state="visible" r:id="rId12"/>
    <sheet name="Lists" sheetId="11" state="hidden" r:id="rId13"/>
  </sheets>
  <definedNames>
    <definedName function="false" hidden="true" localSheetId="3" name="_xlnm._FilterDatabase" vbProcedure="false">'Action Tracker'!$A$7:$J$67</definedName>
    <definedName function="false" hidden="true" localSheetId="6" name="_xlnm._FilterDatabase" vbProcedure="false">'Decision Log'!$A$7:$H$67</definedName>
    <definedName function="false" hidden="true" localSheetId="4" name="_xlnm._FilterDatabase" vbProcedure="false">'Deliverables Register'!$A$7:$J$67</definedName>
    <definedName function="false" hidden="true" localSheetId="7" name="_xlnm._FilterDatabase" vbProcedure="false">'Document Register'!$A$7:$H$67</definedName>
    <definedName function="false" hidden="true" localSheetId="9" name="_xlnm._FilterDatabase" vbProcedure="false">'KPI Summary'!$A$4:$G$11</definedName>
    <definedName function="false" hidden="true" localSheetId="2" name="_xlnm._FilterDatabase" vbProcedure="false">'Meeting Register'!$A$4:$I$64</definedName>
    <definedName function="false" hidden="true" localSheetId="1" name="_xlnm._FilterDatabase" vbProcedure="false">'Operating Rhythm Calendar'!$A$4:$H$64</definedName>
    <definedName function="false" hidden="true" localSheetId="5" name="_xlnm._FilterDatabase" vbProcedure="false">'RAID Log'!$A$7:$J$67</definedName>
    <definedName function="false" hidden="true" localSheetId="8" name="_xlnm._FilterDatabase" vbProcedure="false">'Reporting Calendar'!$A$4:$H$64</definedName>
    <definedName function="false" hidden="false" name="ActionStatus" vbProcedure="false">Lists!$B$2:$B$5</definedName>
    <definedName function="false" hidden="false" name="Cadence" vbProcedure="false">Lists!$L$2:$L$7</definedName>
    <definedName function="false" hidden="false" name="DecisionStatus" vbProcedure="false">Lists!$G$2:$G$5</definedName>
    <definedName function="false" hidden="false" name="DeliverableStatus" vbProcedure="false">Lists!$I$2:$I$6</definedName>
    <definedName function="false" hidden="false" name="DocStatus" vbProcedure="false">Lists!$H$2:$H$5</definedName>
    <definedName function="false" hidden="false" name="KPIStatus" vbProcedure="false">Lists!$O$2:$O$4</definedName>
    <definedName function="false" hidden="false" name="MeetingStatus" vbProcedure="false">Lists!$K$2:$K$5</definedName>
    <definedName function="false" hidden="false" name="MeetingType" vbProcedure="false">Lists!$J$2:$J$7</definedName>
    <definedName function="false" hidden="false" name="OverallStatus" vbProcedure="false">Lists!$M$2:$M$5</definedName>
    <definedName function="false" hidden="false" name="Priority" vbProcedure="false">Lists!$A$2:$A$4</definedName>
    <definedName function="false" hidden="false" name="ProbImpact" vbProcedure="false">Lists!$E$2:$E$5</definedName>
    <definedName function="false" hidden="false" name="RAIDStatus" vbProcedure="false">Lists!$F$2:$F$4</definedName>
    <definedName function="false" hidden="false" name="RAIDType" vbProcedure="false">Lists!$D$2:$D$5</definedName>
    <definedName function="false" hidden="false" name="ReportStatus" vbProcedure="false">Lists!$N$2:$N$5</definedName>
    <definedName function="false" hidden="false" name="YesNoNA" vbProcedure="false">Lists!$C$2:$C$4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<sst xmlns="http://schemas.openxmlformats.org/spreadsheetml/2006/main" count="465" uniqueCount="314">
  <si>
    <t xml:space="preserve">FLOWSHUA PROJECTS LLC | PROGRAM SUPPORT CONTROL WORKBOOK</t>
  </si>
  <si>
    <t xml:space="preserve">Illustrative work sample | Fictional, unclassified program office scenario | Not an official U.S. Government form</t>
  </si>
  <si>
    <t xml:space="preserve">Program:</t>
  </si>
  <si>
    <t xml:space="preserve">Program Meridian (fictional illustrative program)</t>
  </si>
  <si>
    <t xml:space="preserve">Data Date:</t>
  </si>
  <si>
    <t xml:space="preserve">Overall Status:</t>
  </si>
  <si>
    <t xml:space="preserve">Amber</t>
  </si>
  <si>
    <t xml:space="preserve">Open Actions</t>
  </si>
  <si>
    <t xml:space="preserve">Overdue Actions</t>
  </si>
  <si>
    <t xml:space="preserve">Open RAID Items</t>
  </si>
  <si>
    <t xml:space="preserve">High Impact RAID</t>
  </si>
  <si>
    <t xml:space="preserve">Pending Decisions</t>
  </si>
  <si>
    <t xml:space="preserve">Open Deliverables</t>
  </si>
  <si>
    <t xml:space="preserve">Deliverables Due &lt;7 Days</t>
  </si>
  <si>
    <t xml:space="preserve">Docs Pending Review</t>
  </si>
  <si>
    <t xml:space="preserve">PROGRAM SUPPORT SUMMARY</t>
  </si>
  <si>
    <t xml:space="preserve">Area</t>
  </si>
  <si>
    <t xml:space="preserve">Open Count</t>
  </si>
  <si>
    <t xml:space="preserve">Overdue / High Priority</t>
  </si>
  <si>
    <t xml:space="preserve">Closed / Resolved (period)</t>
  </si>
  <si>
    <t xml:space="preserve">Source Tab</t>
  </si>
  <si>
    <t xml:space="preserve">Actions</t>
  </si>
  <si>
    <t xml:space="preserve">Action Tracker</t>
  </si>
  <si>
    <t xml:space="preserve">Deliverables</t>
  </si>
  <si>
    <t xml:space="preserve">Deliverables Register</t>
  </si>
  <si>
    <t xml:space="preserve">RAID Items</t>
  </si>
  <si>
    <t xml:space="preserve">RAID Log</t>
  </si>
  <si>
    <t xml:space="preserve">Decisions</t>
  </si>
  <si>
    <t xml:space="preserve">Decision Log</t>
  </si>
  <si>
    <t xml:space="preserve">Documents</t>
  </si>
  <si>
    <t xml:space="preserve">Document Register</t>
  </si>
  <si>
    <t xml:space="preserve">OPERATING RHYTHM CALENDAR</t>
  </si>
  <si>
    <t xml:space="preserve">Recurring program support battle rhythm | Update Next Occurrence after each event</t>
  </si>
  <si>
    <t xml:space="preserve">Event ID</t>
  </si>
  <si>
    <t xml:space="preserve">Cadence</t>
  </si>
  <si>
    <t xml:space="preserve">Meeting / Event</t>
  </si>
  <si>
    <t xml:space="preserve">Owner</t>
  </si>
  <si>
    <t xml:space="preserve">Attendees</t>
  </si>
  <si>
    <t xml:space="preserve">Typical Output</t>
  </si>
  <si>
    <t xml:space="preserve">Next Occurrence</t>
  </si>
  <si>
    <t xml:space="preserve">Notes</t>
  </si>
  <si>
    <t xml:space="preserve">OR-01</t>
  </si>
  <si>
    <t xml:space="preserve">Daily</t>
  </si>
  <si>
    <t xml:space="preserve">Program Support Standup</t>
  </si>
  <si>
    <t xml:space="preserve">Program Coordinator</t>
  </si>
  <si>
    <t xml:space="preserve">Support Staff</t>
  </si>
  <si>
    <t xml:space="preserve">Action status check, blockers surfaced</t>
  </si>
  <si>
    <t xml:space="preserve">15 min, standing</t>
  </si>
  <si>
    <t xml:space="preserve">OR-02</t>
  </si>
  <si>
    <t xml:space="preserve">Weekly</t>
  </si>
  <si>
    <t xml:space="preserve">Program Status Review</t>
  </si>
  <si>
    <t xml:space="preserve">Program Lead</t>
  </si>
  <si>
    <t xml:space="preserve">Functional Leads, Coordinator</t>
  </si>
  <si>
    <t xml:space="preserve">Weekly Status Report issued</t>
  </si>
  <si>
    <t xml:space="preserve">See Reporting Calendar</t>
  </si>
  <si>
    <t xml:space="preserve">OR-03</t>
  </si>
  <si>
    <t xml:space="preserve">Action &amp; RAID Review</t>
  </si>
  <si>
    <t xml:space="preserve">Action/RAID Owners</t>
  </si>
  <si>
    <t xml:space="preserve">Updated Action Tracker and RAID Log</t>
  </si>
  <si>
    <t xml:space="preserve">OR-04</t>
  </si>
  <si>
    <t xml:space="preserve">Biweekly</t>
  </si>
  <si>
    <t xml:space="preserve">Working-Level Coordination</t>
  </si>
  <si>
    <t xml:space="preserve">Functional Leads</t>
  </si>
  <si>
    <t xml:space="preserve">Cross-functional dependency check</t>
  </si>
  <si>
    <t xml:space="preserve">OR-05</t>
  </si>
  <si>
    <t xml:space="preserve">Monthly</t>
  </si>
  <si>
    <t xml:space="preserve">Leadership / Customer Review</t>
  </si>
  <si>
    <t xml:space="preserve">Leadership, Customer POC</t>
  </si>
  <si>
    <t xml:space="preserve">Executive Dashboard briefed</t>
  </si>
  <si>
    <t xml:space="preserve">OR-06</t>
  </si>
  <si>
    <t xml:space="preserve">KPI &amp; Performance Review</t>
  </si>
  <si>
    <t xml:space="preserve">Program Support Team</t>
  </si>
  <si>
    <t xml:space="preserve">KPI Summary reviewed, trends assessed</t>
  </si>
  <si>
    <t xml:space="preserve">OR-07</t>
  </si>
  <si>
    <t xml:space="preserve">Quarterly</t>
  </si>
  <si>
    <t xml:space="preserve">Document Control Audit</t>
  </si>
  <si>
    <t xml:space="preserve">Document Control Lead</t>
  </si>
  <si>
    <t xml:space="preserve">Document Register reconciled</t>
  </si>
  <si>
    <t xml:space="preserve">MEETING REGISTER</t>
  </si>
  <si>
    <t xml:space="preserve">Log of program support meetings | Link minutes and actions generated</t>
  </si>
  <si>
    <t xml:space="preserve">Meeting ID</t>
  </si>
  <si>
    <t xml:space="preserve">Date</t>
  </si>
  <si>
    <t xml:space="preserve">Meeting Name</t>
  </si>
  <si>
    <t xml:space="preserve">Type</t>
  </si>
  <si>
    <t xml:space="preserve">Facilitator</t>
  </si>
  <si>
    <t xml:space="preserve">Key Topics</t>
  </si>
  <si>
    <t xml:space="preserve">Actions Generated</t>
  </si>
  <si>
    <t xml:space="preserve">Minutes Status</t>
  </si>
  <si>
    <t xml:space="preserve">Status</t>
  </si>
  <si>
    <t xml:space="preserve">MTG-001</t>
  </si>
  <si>
    <t xml:space="preserve">Weekly Program Status Review</t>
  </si>
  <si>
    <t xml:space="preserve">Leadership</t>
  </si>
  <si>
    <t xml:space="preserve">Schedule variance, material dependency</t>
  </si>
  <si>
    <t xml:space="preserve">Distributed</t>
  </si>
  <si>
    <t xml:space="preserve">Held</t>
  </si>
  <si>
    <t xml:space="preserve">MTG-002</t>
  </si>
  <si>
    <t xml:space="preserve">Working Group</t>
  </si>
  <si>
    <t xml:space="preserve">Overdue action follow-up</t>
  </si>
  <si>
    <t xml:space="preserve">MTG-003</t>
  </si>
  <si>
    <t xml:space="preserve">Customer</t>
  </si>
  <si>
    <t xml:space="preserve">Monthly performance summary</t>
  </si>
  <si>
    <t xml:space="preserve">Pending</t>
  </si>
  <si>
    <t xml:space="preserve">Scheduled</t>
  </si>
  <si>
    <t xml:space="preserve">ACTION TRACKER</t>
  </si>
  <si>
    <t xml:space="preserve">All open, in-work, and closed program support actions</t>
  </si>
  <si>
    <t xml:space="preserve">SUMMARY</t>
  </si>
  <si>
    <t xml:space="preserve">Open (incl. In Work)</t>
  </si>
  <si>
    <t xml:space="preserve">Overdue</t>
  </si>
  <si>
    <t xml:space="preserve">Closed (all time)</t>
  </si>
  <si>
    <t xml:space="preserve">Action ID</t>
  </si>
  <si>
    <t xml:space="preserve">Description</t>
  </si>
  <si>
    <t xml:space="preserve">Date Opened</t>
  </si>
  <si>
    <t xml:space="preserve">Due Date</t>
  </si>
  <si>
    <t xml:space="preserve">Priority</t>
  </si>
  <si>
    <t xml:space="preserve">Linked Item</t>
  </si>
  <si>
    <t xml:space="preserve">Days Overdue</t>
  </si>
  <si>
    <t xml:space="preserve">ACT-001</t>
  </si>
  <si>
    <t xml:space="preserve">Confirm replacement-material verification with supply lead</t>
  </si>
  <si>
    <t xml:space="preserve">Supply Lead</t>
  </si>
  <si>
    <t xml:space="preserve">High</t>
  </si>
  <si>
    <t xml:space="preserve">Open</t>
  </si>
  <si>
    <t xml:space="preserve">RAID-01</t>
  </si>
  <si>
    <t xml:space="preserve">Escalate if unresolved</t>
  </si>
  <si>
    <t xml:space="preserve">ACT-002</t>
  </si>
  <si>
    <t xml:space="preserve">Issue engineering disposition for open drawing question</t>
  </si>
  <si>
    <t xml:space="preserve">Engineering Lead</t>
  </si>
  <si>
    <t xml:space="preserve">In Work</t>
  </si>
  <si>
    <t xml:space="preserve">RAID-02</t>
  </si>
  <si>
    <t xml:space="preserve">Review scheduled</t>
  </si>
  <si>
    <t xml:space="preserve">ACT-003</t>
  </si>
  <si>
    <t xml:space="preserve">Approve site access roster for onsite support</t>
  </si>
  <si>
    <t xml:space="preserve">Site POC</t>
  </si>
  <si>
    <t xml:space="preserve">Medium</t>
  </si>
  <si>
    <t xml:space="preserve">ACT-004</t>
  </si>
  <si>
    <t xml:space="preserve">Update document register after control-plan revision</t>
  </si>
  <si>
    <t xml:space="preserve">Closed</t>
  </si>
  <si>
    <t xml:space="preserve">DOC-004</t>
  </si>
  <si>
    <t xml:space="preserve">Closed on schedule</t>
  </si>
  <si>
    <t xml:space="preserve">ACT-005</t>
  </si>
  <si>
    <t xml:space="preserve">Validate test-equipment availability for readiness review</t>
  </si>
  <si>
    <t xml:space="preserve">Test Lead</t>
  </si>
  <si>
    <t xml:space="preserve">DELIVERABLES REGISTER</t>
  </si>
  <si>
    <t xml:space="preserve">Tracked program support deliverables and submissions</t>
  </si>
  <si>
    <t xml:space="preserve">Open (Not Started/In Progress)</t>
  </si>
  <si>
    <t xml:space="preserve">Due within 7 days</t>
  </si>
  <si>
    <t xml:space="preserve">Closed (Accepted, all time)</t>
  </si>
  <si>
    <t xml:space="preserve">Deliverable ID</t>
  </si>
  <si>
    <t xml:space="preserve">% Complete</t>
  </si>
  <si>
    <t xml:space="preserve">Days Until Due</t>
  </si>
  <si>
    <t xml:space="preserve">Linked Meeting/Action</t>
  </si>
  <si>
    <t xml:space="preserve">DEL-001</t>
  </si>
  <si>
    <t xml:space="preserve">Weekly Status Report - Period 3</t>
  </si>
  <si>
    <t xml:space="preserve">Report</t>
  </si>
  <si>
    <t xml:space="preserve">In Progress</t>
  </si>
  <si>
    <t xml:space="preserve">DEL-002</t>
  </si>
  <si>
    <t xml:space="preserve">Updated Integrated Milestone Schedule</t>
  </si>
  <si>
    <t xml:space="preserve">Schedule</t>
  </si>
  <si>
    <t xml:space="preserve">DEL-003</t>
  </si>
  <si>
    <t xml:space="preserve">Monthly KPI Summary</t>
  </si>
  <si>
    <t xml:space="preserve">Not Started</t>
  </si>
  <si>
    <t xml:space="preserve">DEL-004</t>
  </si>
  <si>
    <t xml:space="preserve">Revised Document Register</t>
  </si>
  <si>
    <t xml:space="preserve">Register</t>
  </si>
  <si>
    <t xml:space="preserve">Submitted</t>
  </si>
  <si>
    <t xml:space="preserve">Pending acceptance</t>
  </si>
  <si>
    <t xml:space="preserve">RAID LOG</t>
  </si>
  <si>
    <t xml:space="preserve">Risks, Assumptions, Issues, and Dependencies</t>
  </si>
  <si>
    <t xml:space="preserve">Open &amp; High Impact</t>
  </si>
  <si>
    <t xml:space="preserve">ID</t>
  </si>
  <si>
    <t xml:space="preserve">Statement</t>
  </si>
  <si>
    <t xml:space="preserve">Probability</t>
  </si>
  <si>
    <t xml:space="preserve">Impact</t>
  </si>
  <si>
    <t xml:space="preserve">Response / Mitigation</t>
  </si>
  <si>
    <t xml:space="preserve">Date Identified</t>
  </si>
  <si>
    <t xml:space="preserve">Date Closed</t>
  </si>
  <si>
    <t xml:space="preserve">Risk</t>
  </si>
  <si>
    <t xml:space="preserve">Key material verification may slip beyond the planned window.</t>
  </si>
  <si>
    <t xml:space="preserve">Daily supplier follow-up; pre-stage partial receipts.</t>
  </si>
  <si>
    <t xml:space="preserve">Issue</t>
  </si>
  <si>
    <t xml:space="preserve">Open engineering question on a control document.</t>
  </si>
  <si>
    <t xml:space="preserve">N/A</t>
  </si>
  <si>
    <t xml:space="preserve">Disposition requested; escalate if unresolved by review.</t>
  </si>
  <si>
    <t xml:space="preserve">RAID-03</t>
  </si>
  <si>
    <t xml:space="preserve">Assumption</t>
  </si>
  <si>
    <t xml:space="preserve">Site work area will remain available through the planned window.</t>
  </si>
  <si>
    <t xml:space="preserve">Validate at readiness review.</t>
  </si>
  <si>
    <t xml:space="preserve">Monitoring</t>
  </si>
  <si>
    <t xml:space="preserve">RAID-04</t>
  </si>
  <si>
    <t xml:space="preserve">Dependency</t>
  </si>
  <si>
    <t xml:space="preserve">Test equipment reservation depends on completion of a prior activity.</t>
  </si>
  <si>
    <t xml:space="preserve">Reserve backup equipment.</t>
  </si>
  <si>
    <t xml:space="preserve">DECISION LOG</t>
  </si>
  <si>
    <t xml:space="preserve">Decisions requested, pending, and resolved</t>
  </si>
  <si>
    <t xml:space="preserve">Approved (period)</t>
  </si>
  <si>
    <t xml:space="preserve">Overdue (past Needed-By)</t>
  </si>
  <si>
    <t xml:space="preserve">Decision ID</t>
  </si>
  <si>
    <t xml:space="preserve">Decision Required</t>
  </si>
  <si>
    <t xml:space="preserve">Decision Authority</t>
  </si>
  <si>
    <t xml:space="preserve">Date Needed</t>
  </si>
  <si>
    <t xml:space="preserve">Date Decided</t>
  </si>
  <si>
    <t xml:space="preserve">Impact if Delayed</t>
  </si>
  <si>
    <t xml:space="preserve">Next Step</t>
  </si>
  <si>
    <t xml:space="preserve">DEC-01</t>
  </si>
  <si>
    <t xml:space="preserve">Authorize contingency plan if material receipt slips further.</t>
  </si>
  <si>
    <t xml:space="preserve">Protects schedule float.</t>
  </si>
  <si>
    <t xml:space="preserve">Coordinator to provide impact comparison.</t>
  </si>
  <si>
    <t xml:space="preserve">DEC-02</t>
  </si>
  <si>
    <t xml:space="preserve">Approve use of backup test resource if primary unavailable.</t>
  </si>
  <si>
    <t xml:space="preserve">Test Authority</t>
  </si>
  <si>
    <t xml:space="preserve">Avoids test-window delay.</t>
  </si>
  <si>
    <t xml:space="preserve">Test Lead to confirm compatibility.</t>
  </si>
  <si>
    <t xml:space="preserve">DEC-03</t>
  </si>
  <si>
    <t xml:space="preserve">Approve revised document register after control-plan update.</t>
  </si>
  <si>
    <t xml:space="preserve">Approved</t>
  </si>
  <si>
    <t xml:space="preserve">Maintains single controlled baseline.</t>
  </si>
  <si>
    <t xml:space="preserve">Register updated.</t>
  </si>
  <si>
    <t xml:space="preserve">DOCUMENT REGISTER</t>
  </si>
  <si>
    <t xml:space="preserve">Controlled program support documents and version history</t>
  </si>
  <si>
    <t xml:space="preserve">In Review</t>
  </si>
  <si>
    <t xml:space="preserve">Review Past Due</t>
  </si>
  <si>
    <t xml:space="preserve">Approved (current)</t>
  </si>
  <si>
    <t xml:space="preserve">Document ID</t>
  </si>
  <si>
    <t xml:space="preserve">Title</t>
  </si>
  <si>
    <t xml:space="preserve">Version</t>
  </si>
  <si>
    <t xml:space="preserve">Last Updated</t>
  </si>
  <si>
    <t xml:space="preserve">Location / Link</t>
  </si>
  <si>
    <t xml:space="preserve">Next Review Date</t>
  </si>
  <si>
    <t xml:space="preserve">DOC-001</t>
  </si>
  <si>
    <t xml:space="preserve">Program Support Operating Rhythm and SOP Manual</t>
  </si>
  <si>
    <t xml:space="preserve">v1.0</t>
  </si>
  <si>
    <t xml:space="preserve">Program Support Library</t>
  </si>
  <si>
    <t xml:space="preserve">DOC-002</t>
  </si>
  <si>
    <t xml:space="preserve">Integrated Milestone Schedule</t>
  </si>
  <si>
    <t xml:space="preserve">v2.3</t>
  </si>
  <si>
    <t xml:space="preserve">DOC-003</t>
  </si>
  <si>
    <t xml:space="preserve">Weekly Status Report Template</t>
  </si>
  <si>
    <t xml:space="preserve">v1.1</t>
  </si>
  <si>
    <t xml:space="preserve">Templates Folder</t>
  </si>
  <si>
    <t xml:space="preserve">Program Support Control Plan</t>
  </si>
  <si>
    <t xml:space="preserve">v1.2</t>
  </si>
  <si>
    <t xml:space="preserve">REPORTING CALENDAR</t>
  </si>
  <si>
    <t xml:space="preserve">Recurring reporting obligations and due dates</t>
  </si>
  <si>
    <t xml:space="preserve">Frequency</t>
  </si>
  <si>
    <t xml:space="preserve">Due Day / Date</t>
  </si>
  <si>
    <t xml:space="preserve">Distribution</t>
  </si>
  <si>
    <t xml:space="preserve">Last Submitted</t>
  </si>
  <si>
    <t xml:space="preserve">Next Due</t>
  </si>
  <si>
    <t xml:space="preserve">Weekly Status Report</t>
  </si>
  <si>
    <t xml:space="preserve">Every Friday</t>
  </si>
  <si>
    <t xml:space="preserve">Program Lead, Leadership</t>
  </si>
  <si>
    <t xml:space="preserve">On Track</t>
  </si>
  <si>
    <t xml:space="preserve">Last business day</t>
  </si>
  <si>
    <t xml:space="preserve">Program Lead, Customer</t>
  </si>
  <si>
    <t xml:space="preserve">Executive Dashboard Briefing</t>
  </si>
  <si>
    <t xml:space="preserve">First review of month</t>
  </si>
  <si>
    <t xml:space="preserve">Document Control Audit Summary</t>
  </si>
  <si>
    <t xml:space="preserve">End of quarter</t>
  </si>
  <si>
    <t xml:space="preserve">KPI SUMMARY</t>
  </si>
  <si>
    <t xml:space="preserve">Program support performance measures | Reviewed monthly</t>
  </si>
  <si>
    <t xml:space="preserve">Metric</t>
  </si>
  <si>
    <t xml:space="preserve">Formula / Source</t>
  </si>
  <si>
    <t xml:space="preserve">Target</t>
  </si>
  <si>
    <t xml:space="preserve">Current</t>
  </si>
  <si>
    <t xml:space="preserve">Data Source</t>
  </si>
  <si>
    <t xml:space="preserve">Trend Notes</t>
  </si>
  <si>
    <t xml:space="preserve">Action Closure Rate</t>
  </si>
  <si>
    <t xml:space="preserve">Closed actions / total logged actions</t>
  </si>
  <si>
    <t xml:space="preserve">Calculated</t>
  </si>
  <si>
    <t xml:space="preserve">Overdue Action Rate</t>
  </si>
  <si>
    <t xml:space="preserve">Overdue actions / open actions</t>
  </si>
  <si>
    <t xml:space="preserve">Deliverable On-Time Rate</t>
  </si>
  <si>
    <t xml:space="preserve">Accepted on/before due date / total closed deliverables</t>
  </si>
  <si>
    <t xml:space="preserve">Manual Input Required</t>
  </si>
  <si>
    <t xml:space="preserve">Open High-Impact RAID Items</t>
  </si>
  <si>
    <t xml:space="preserve">Count of open Risk/Issue items rated High impact</t>
  </si>
  <si>
    <t xml:space="preserve">Decision Cycle Time (avg days)</t>
  </si>
  <si>
    <t xml:space="preserve">Average days from decision requested to decided</t>
  </si>
  <si>
    <t xml:space="preserve">Document Currency Rate</t>
  </si>
  <si>
    <t xml:space="preserve">Approved documents / total controlled documents</t>
  </si>
  <si>
    <t xml:space="preserve">Meeting On-Time Rate</t>
  </si>
  <si>
    <t xml:space="preserve">Meetings held as scheduled / total scheduled</t>
  </si>
  <si>
    <t xml:space="preserve">Note: rows marked "Manual Input Required" have no direct workbook data source. The Current value shown is an illustrative placeholder and must be replaced with an actual measured value before this workbook is used for real reporting.</t>
  </si>
  <si>
    <t xml:space="preserve">ActionStatus</t>
  </si>
  <si>
    <t xml:space="preserve">YesNoNA</t>
  </si>
  <si>
    <t xml:space="preserve">RAIDType</t>
  </si>
  <si>
    <t xml:space="preserve">ProbImpact</t>
  </si>
  <si>
    <t xml:space="preserve">RAIDStatus</t>
  </si>
  <si>
    <t xml:space="preserve">DecisionStatus</t>
  </si>
  <si>
    <t xml:space="preserve">DocStatus</t>
  </si>
  <si>
    <t xml:space="preserve">DeliverableStatus</t>
  </si>
  <si>
    <t xml:space="preserve">MeetingType</t>
  </si>
  <si>
    <t xml:space="preserve">MeetingStatus</t>
  </si>
  <si>
    <t xml:space="preserve">OverallStatus</t>
  </si>
  <si>
    <t xml:space="preserve">ReportStatus</t>
  </si>
  <si>
    <t xml:space="preserve">KPIStatus</t>
  </si>
  <si>
    <t xml:space="preserve">Yes</t>
  </si>
  <si>
    <t xml:space="preserve">Low</t>
  </si>
  <si>
    <t xml:space="preserve">Draft</t>
  </si>
  <si>
    <t xml:space="preserve">Standup</t>
  </si>
  <si>
    <t xml:space="preserve">Green</t>
  </si>
  <si>
    <t xml:space="preserve">No</t>
  </si>
  <si>
    <t xml:space="preserve">At Risk</t>
  </si>
  <si>
    <t xml:space="preserve">Denied</t>
  </si>
  <si>
    <t xml:space="preserve">Program Review</t>
  </si>
  <si>
    <t xml:space="preserve">Cancelled</t>
  </si>
  <si>
    <t xml:space="preserve">Red</t>
  </si>
  <si>
    <t xml:space="preserve">Late</t>
  </si>
  <si>
    <t xml:space="preserve">Deferred</t>
  </si>
  <si>
    <t xml:space="preserve">Superseded</t>
  </si>
  <si>
    <t xml:space="preserve">Accepted</t>
  </si>
  <si>
    <t xml:space="preserve">Rescheduled</t>
  </si>
  <si>
    <t xml:space="preserve">Blue</t>
  </si>
  <si>
    <t xml:space="preserve">Rejected</t>
  </si>
  <si>
    <t xml:space="preserve">Ad Hoc</t>
  </si>
</sst>
</file>

<file path=xl/styles.xml><?xml version="1.0" encoding="utf-8"?>
<styleSheet xmlns="http://schemas.openxmlformats.org/spreadsheetml/2006/main">
  <numFmts count="5">
    <numFmt numFmtId="164" formatCode="General"/>
    <numFmt numFmtId="165" formatCode="dd\ mmm\ yyyy"/>
    <numFmt numFmtId="166" formatCode="0%"/>
    <numFmt numFmtId="167" formatCode="0"/>
    <numFmt numFmtId="168" formatCode="0.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17324D"/>
      <name val="Calibri"/>
      <family val="0"/>
      <charset val="1"/>
    </font>
    <font>
      <b val="true"/>
      <sz val="10"/>
      <color rgb="FF1A1A1A"/>
      <name val="Calibri"/>
      <family val="0"/>
      <charset val="1"/>
    </font>
    <font>
      <sz val="10"/>
      <color rgb="FF1A1A1A"/>
      <name val="Calibri"/>
      <family val="0"/>
      <charset val="1"/>
    </font>
    <font>
      <b val="true"/>
      <sz val="10"/>
      <name val="Calibri"/>
      <family val="0"/>
      <charset val="1"/>
    </font>
    <font>
      <b val="true"/>
      <sz val="9"/>
      <color rgb="FFFFFFFF"/>
      <name val="Calibri"/>
      <family val="0"/>
      <charset val="1"/>
    </font>
    <font>
      <b val="true"/>
      <sz val="20"/>
      <color rgb="FF0B2A4A"/>
      <name val="Calibri"/>
      <family val="0"/>
      <charset val="1"/>
    </font>
    <font>
      <b val="true"/>
      <sz val="11"/>
      <color rgb="FFFFFFFF"/>
      <name val="Calibri"/>
      <family val="0"/>
      <charset val="1"/>
    </font>
    <font>
      <b val="true"/>
      <sz val="10"/>
      <color rgb="FF6B6B6B"/>
      <name val="Calibri"/>
      <family val="0"/>
      <charset val="1"/>
    </font>
    <font>
      <i val="true"/>
      <sz val="9"/>
      <color rgb="FF555555"/>
      <name val="Calibri"/>
      <family val="0"/>
      <charset val="1"/>
    </font>
  </fonts>
  <fills count="6">
    <fill>
      <patternFill patternType="none"/>
    </fill>
    <fill>
      <patternFill patternType="gray125"/>
    </fill>
    <fill>
      <patternFill patternType="solid">
        <fgColor rgb="FF0B2A4A"/>
        <bgColor rgb="FF17324D"/>
      </patternFill>
    </fill>
    <fill>
      <patternFill patternType="solid">
        <fgColor rgb="FFF7F3ED"/>
        <bgColor rgb="FFE9E9E9"/>
      </patternFill>
    </fill>
    <fill>
      <patternFill patternType="solid">
        <fgColor rgb="FFF9E7B2"/>
        <bgColor rgb="FFF6D5D5"/>
      </patternFill>
    </fill>
    <fill>
      <patternFill patternType="solid">
        <fgColor rgb="FF17324D"/>
        <bgColor rgb="FF0B2A4A"/>
      </patternFill>
    </fill>
  </fills>
  <borders count="2">
    <border diagonalUp="false" diagonalDown="false">
      <left/>
      <right/>
      <top/>
      <bottom/>
      <diagonal/>
    </border>
    <border diagonalUp="false" diagonalDown="false">
      <left style="thin">
        <color rgb="FFC9C2B4"/>
      </left>
      <right style="thin">
        <color rgb="FFC9C2B4"/>
      </right>
      <top style="thin">
        <color rgb="FFC9C2B4"/>
      </top>
      <bottom style="thin">
        <color rgb="FFC9C2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7324D"/>
          <bgColor rgb="FF000000"/>
        </patternFill>
      </fill>
    </dxf>
    <dxf>
      <fill>
        <patternFill patternType="solid">
          <bgColor rgb="FF000000"/>
        </patternFill>
      </fill>
    </dxf>
    <dxf>
      <fill>
        <patternFill patternType="solid">
          <fgColor rgb="FF000000"/>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DDE8F1"/>
          <bgColor rgb="FF000000"/>
        </patternFill>
      </fill>
    </dxf>
    <dxf>
      <fill>
        <patternFill patternType="solid">
          <fgColor rgb="FFDDEFE3"/>
          <bgColor rgb="FF000000"/>
        </patternFill>
      </fill>
    </dxf>
    <dxf>
      <fill>
        <patternFill>
          <bgColor rgb="FFDDEFE3"/>
        </patternFill>
      </fill>
    </dxf>
    <dxf>
      <fill>
        <patternFill>
          <bgColor rgb="FFF6D5D5"/>
        </patternFill>
      </fill>
    </dxf>
    <dxf>
      <fill>
        <patternFill>
          <bgColor rgb="FFDDE8F1"/>
        </patternFill>
      </fill>
    </dxf>
    <dxf>
      <fill>
        <patternFill patternType="solid">
          <fgColor rgb="FFF6D5D5"/>
          <bgColor rgb="FF000000"/>
        </patternFill>
      </fill>
    </dxf>
    <dxf>
      <fill>
        <patternFill patternType="solid">
          <fgColor rgb="FFF9E7B2"/>
          <bgColor rgb="FF000000"/>
        </patternFill>
      </fill>
    </dxf>
    <dxf>
      <fill>
        <patternFill>
          <bgColor rgb="FFF9E7B2"/>
        </patternFill>
      </fill>
    </dxf>
    <dxf>
      <fill>
        <patternFill>
          <bgColor rgb="FFE9E9E9"/>
        </patternFill>
      </fill>
    </dxf>
    <dxf>
      <fill>
        <patternFill patternType="solid">
          <fgColor rgb="FFE9E9E9"/>
          <bgColor rgb="FF000000"/>
        </patternFill>
      </fill>
    </dxf>
    <dxf>
      <fill>
        <patternFill patternType="solid">
          <fgColor rgb="FF6B6B6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2B4"/>
      <rgbColor rgb="FF808080"/>
      <rgbColor rgb="FF9999FF"/>
      <rgbColor rgb="FF993366"/>
      <rgbColor rgb="FFF7F3ED"/>
      <rgbColor rgb="FFDDE8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9E9E9"/>
      <rgbColor rgb="FFDDEFE3"/>
      <rgbColor rgb="FFF9E7B2"/>
      <rgbColor rgb="FF99CCFF"/>
      <rgbColor rgb="FFFF99CC"/>
      <rgbColor rgb="FFCC99FF"/>
      <rgbColor rgb="FFF6D5D5"/>
      <rgbColor rgb="FF3366FF"/>
      <rgbColor rgb="FF33CCCC"/>
      <rgbColor rgb="FF99CC00"/>
      <rgbColor rgb="FFFFCC00"/>
      <rgbColor rgb="FFFF9900"/>
      <rgbColor rgb="FFFF6600"/>
      <rgbColor rgb="FF6B6B6B"/>
      <rgbColor rgb="FF969696"/>
      <rgbColor rgb="FF0B2A4A"/>
      <rgbColor rgb="FF339966"/>
      <rgbColor rgb="FF003300"/>
      <rgbColor rgb="FF1A1A1A"/>
      <rgbColor rgb="FF993300"/>
      <rgbColor rgb="FF993366"/>
      <rgbColor rgb="FF555555"/>
      <rgbColor rgb="FF1732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0" min="1" style="0" width="16"/>
  </cols>
  <sheetData>
    <row r="1" customFormat="false" ht="25.5" hidden="false" customHeight="true" outlineLevel="0" collapsed="false">
      <c r="A1" s="1" t="s">
        <v>0</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3" customFormat="false" ht="15" hidden="false" customHeight="false" outlineLevel="0" collapsed="false">
      <c r="A3" s="3" t="s">
        <v>2</v>
      </c>
      <c r="B3" s="4" t="s">
        <v>3</v>
      </c>
      <c r="D3" s="3" t="s">
        <v>4</v>
      </c>
      <c r="E3" s="5" t="n">
        <f aca="true">TODAY()</f>
        <v>46221</v>
      </c>
      <c r="F3" s="3" t="s">
        <v>5</v>
      </c>
      <c r="G3" s="6" t="s">
        <v>6</v>
      </c>
    </row>
    <row r="5" customFormat="false" ht="30" hidden="false" customHeight="true" outlineLevel="0" collapsed="false">
      <c r="A5" s="7" t="s">
        <v>7</v>
      </c>
      <c r="B5" s="7" t="s">
        <v>8</v>
      </c>
      <c r="C5" s="7" t="s">
        <v>9</v>
      </c>
      <c r="D5" s="7" t="s">
        <v>10</v>
      </c>
      <c r="E5" s="7" t="s">
        <v>11</v>
      </c>
      <c r="F5" s="7" t="s">
        <v>12</v>
      </c>
      <c r="G5" s="7" t="s">
        <v>13</v>
      </c>
      <c r="H5" s="7" t="s">
        <v>14</v>
      </c>
    </row>
    <row r="6" customFormat="false" ht="33.75" hidden="false" customHeight="true" outlineLevel="0" collapsed="false">
      <c r="A6" s="8" t="n">
        <f aca="false">'Action Tracker'!$K$4</f>
        <v>4</v>
      </c>
      <c r="B6" s="8" t="n">
        <f aca="false">'Action Tracker'!$K$5</f>
        <v>2</v>
      </c>
      <c r="C6" s="8" t="n">
        <f aca="false">'RAID Log'!$K$4</f>
        <v>4</v>
      </c>
      <c r="D6" s="8" t="n">
        <f aca="false">'RAID Log'!$K$5</f>
        <v>2</v>
      </c>
      <c r="E6" s="8" t="n">
        <f aca="false">'Decision Log'!$J$4</f>
        <v>2</v>
      </c>
      <c r="F6" s="8" t="n">
        <f aca="false">'Deliverables Register'!$K$4</f>
        <v>3</v>
      </c>
      <c r="G6" s="8" t="n">
        <f aca="false">'Deliverables Register'!$K$5</f>
        <v>2</v>
      </c>
      <c r="H6" s="8" t="n">
        <f aca="false">'Document Register'!$J$4</f>
        <v>1</v>
      </c>
    </row>
    <row r="9" customFormat="false" ht="15" hidden="false" customHeight="false" outlineLevel="0" collapsed="false">
      <c r="A9" s="9" t="s">
        <v>15</v>
      </c>
      <c r="B9" s="9"/>
      <c r="C9" s="9"/>
      <c r="D9" s="9"/>
      <c r="E9" s="9"/>
      <c r="F9" s="9"/>
      <c r="G9" s="9"/>
      <c r="H9" s="9"/>
    </row>
    <row r="10" customFormat="false" ht="23.85" hidden="false" customHeight="false" outlineLevel="0" collapsed="false">
      <c r="A10" s="10" t="s">
        <v>16</v>
      </c>
      <c r="B10" s="10" t="s">
        <v>17</v>
      </c>
      <c r="C10" s="10" t="s">
        <v>18</v>
      </c>
      <c r="D10" s="10" t="s">
        <v>19</v>
      </c>
      <c r="E10" s="10" t="s">
        <v>20</v>
      </c>
    </row>
    <row r="11" customFormat="false" ht="15" hidden="false" customHeight="false" outlineLevel="0" collapsed="false">
      <c r="A11" s="11" t="s">
        <v>21</v>
      </c>
      <c r="B11" s="12" t="n">
        <f aca="false">'Action Tracker'!$K$4</f>
        <v>4</v>
      </c>
      <c r="C11" s="12" t="n">
        <f aca="false">'Action Tracker'!$K$5</f>
        <v>2</v>
      </c>
      <c r="D11" s="12" t="n">
        <f aca="false">'Action Tracker'!$K$6</f>
        <v>1</v>
      </c>
      <c r="E11" s="12" t="s">
        <v>22</v>
      </c>
    </row>
    <row r="12" customFormat="false" ht="15" hidden="false" customHeight="false" outlineLevel="0" collapsed="false">
      <c r="A12" s="11" t="s">
        <v>23</v>
      </c>
      <c r="B12" s="12" t="n">
        <f aca="false">'Deliverables Register'!$K$4</f>
        <v>3</v>
      </c>
      <c r="C12" s="12" t="n">
        <f aca="false">'Deliverables Register'!$K$5</f>
        <v>2</v>
      </c>
      <c r="D12" s="12" t="n">
        <f aca="false">'Deliverables Register'!$K$6</f>
        <v>0</v>
      </c>
      <c r="E12" s="12" t="s">
        <v>24</v>
      </c>
    </row>
    <row r="13" customFormat="false" ht="15" hidden="false" customHeight="false" outlineLevel="0" collapsed="false">
      <c r="A13" s="11" t="s">
        <v>25</v>
      </c>
      <c r="B13" s="12" t="n">
        <f aca="false">'RAID Log'!$K$4</f>
        <v>4</v>
      </c>
      <c r="C13" s="12" t="n">
        <f aca="false">'RAID Log'!$K$5</f>
        <v>2</v>
      </c>
      <c r="D13" s="12" t="n">
        <f aca="false">'RAID Log'!$K$6</f>
        <v>0</v>
      </c>
      <c r="E13" s="12" t="s">
        <v>26</v>
      </c>
    </row>
    <row r="14" customFormat="false" ht="15" hidden="false" customHeight="false" outlineLevel="0" collapsed="false">
      <c r="A14" s="11" t="s">
        <v>27</v>
      </c>
      <c r="B14" s="12" t="n">
        <f aca="false">'Decision Log'!$J$4</f>
        <v>2</v>
      </c>
      <c r="C14" s="12" t="n">
        <f aca="false">'Decision Log'!$J$6</f>
        <v>0</v>
      </c>
      <c r="D14" s="12" t="n">
        <f aca="false">'Decision Log'!$J$5</f>
        <v>1</v>
      </c>
      <c r="E14" s="12" t="s">
        <v>28</v>
      </c>
    </row>
    <row r="15" customFormat="false" ht="15" hidden="false" customHeight="false" outlineLevel="0" collapsed="false">
      <c r="A15" s="11" t="s">
        <v>29</v>
      </c>
      <c r="B15" s="12" t="n">
        <f aca="false">'Document Register'!$J$4</f>
        <v>1</v>
      </c>
      <c r="C15" s="12" t="n">
        <f aca="false">'Document Register'!$J$5</f>
        <v>1</v>
      </c>
      <c r="D15" s="12" t="n">
        <f aca="false">'Document Register'!$J$6</f>
        <v>3</v>
      </c>
      <c r="E15" s="12" t="s">
        <v>30</v>
      </c>
    </row>
  </sheetData>
  <mergeCells count="3">
    <mergeCell ref="A1:J1"/>
    <mergeCell ref="A2:J2"/>
    <mergeCell ref="A9:H9"/>
  </mergeCells>
  <dataValidations count="1">
    <dataValidation allowBlank="true" errorStyle="stop" operator="between" showDropDown="false" showErrorMessage="false" showInputMessage="false" sqref="G3" type="list">
      <formula1>OverallStatus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6"/>
    <col collapsed="false" customWidth="true" hidden="false" outlineLevel="0" max="4" min="4" style="0" width="18"/>
    <col collapsed="false" customWidth="true" hidden="false" outlineLevel="0" max="5" min="5" style="0" width="20"/>
    <col collapsed="false" customWidth="true" hidden="false" outlineLevel="0" max="6" min="6" style="0" width="30"/>
    <col collapsed="false" customWidth="true" hidden="false" outlineLevel="0" max="7" min="7" style="0" width="16"/>
    <col collapsed="false" customWidth="true" hidden="false" outlineLevel="0" max="8" min="8" style="0" width="24"/>
  </cols>
  <sheetData>
    <row r="1" customFormat="false" ht="25.5" hidden="false" customHeight="true" outlineLevel="0" collapsed="false">
      <c r="A1" s="1" t="s">
        <v>31</v>
      </c>
      <c r="B1" s="1"/>
      <c r="C1" s="1"/>
      <c r="D1" s="1"/>
      <c r="E1" s="1"/>
      <c r="F1" s="1"/>
      <c r="G1" s="1"/>
      <c r="H1" s="1"/>
    </row>
    <row r="2" customFormat="false" ht="15.75" hidden="false" customHeight="true" outlineLevel="0" collapsed="false">
      <c r="A2" s="2" t="s">
        <v>32</v>
      </c>
      <c r="B2" s="2"/>
      <c r="C2" s="2"/>
      <c r="D2" s="2"/>
      <c r="E2" s="2"/>
      <c r="F2" s="2"/>
      <c r="G2" s="2"/>
      <c r="H2" s="2"/>
    </row>
    <row r="4" customFormat="false" ht="23.85" hidden="false" customHeight="false" outlineLevel="0" collapsed="false">
      <c r="A4" s="10" t="s">
        <v>33</v>
      </c>
      <c r="B4" s="10" t="s">
        <v>34</v>
      </c>
      <c r="C4" s="10" t="s">
        <v>35</v>
      </c>
      <c r="D4" s="10" t="s">
        <v>36</v>
      </c>
      <c r="E4" s="10" t="s">
        <v>37</v>
      </c>
      <c r="F4" s="10" t="s">
        <v>38</v>
      </c>
      <c r="G4" s="10" t="s">
        <v>39</v>
      </c>
      <c r="H4" s="10" t="s">
        <v>40</v>
      </c>
    </row>
    <row r="5" customFormat="false" ht="15" hidden="false" customHeight="false" outlineLevel="0" collapsed="false">
      <c r="A5" s="13" t="s">
        <v>41</v>
      </c>
      <c r="B5" s="13" t="s">
        <v>42</v>
      </c>
      <c r="C5" s="13" t="s">
        <v>43</v>
      </c>
      <c r="D5" s="13" t="s">
        <v>44</v>
      </c>
      <c r="E5" s="13" t="s">
        <v>45</v>
      </c>
      <c r="F5" s="13" t="s">
        <v>46</v>
      </c>
      <c r="G5" s="14" t="n">
        <f aca="true">TODAY()+1</f>
        <v>46222</v>
      </c>
      <c r="H5" s="13" t="s">
        <v>47</v>
      </c>
    </row>
    <row r="6" customFormat="false" ht="20.85" hidden="false" customHeight="false" outlineLevel="0" collapsed="false">
      <c r="A6" s="13" t="s">
        <v>48</v>
      </c>
      <c r="B6" s="13" t="s">
        <v>49</v>
      </c>
      <c r="C6" s="13" t="s">
        <v>50</v>
      </c>
      <c r="D6" s="13" t="s">
        <v>51</v>
      </c>
      <c r="E6" s="13" t="s">
        <v>52</v>
      </c>
      <c r="F6" s="13" t="s">
        <v>53</v>
      </c>
      <c r="G6" s="14" t="n">
        <f aca="true">TODAY()+7</f>
        <v>46228</v>
      </c>
      <c r="H6" s="13" t="s">
        <v>54</v>
      </c>
    </row>
    <row r="7" customFormat="false" ht="15" hidden="false" customHeight="false" outlineLevel="0" collapsed="false">
      <c r="A7" s="13" t="s">
        <v>55</v>
      </c>
      <c r="B7" s="13" t="s">
        <v>49</v>
      </c>
      <c r="C7" s="13" t="s">
        <v>56</v>
      </c>
      <c r="D7" s="13" t="s">
        <v>44</v>
      </c>
      <c r="E7" s="13" t="s">
        <v>57</v>
      </c>
      <c r="F7" s="13" t="s">
        <v>58</v>
      </c>
      <c r="G7" s="14" t="n">
        <f aca="true">TODAY()+7</f>
        <v>46228</v>
      </c>
      <c r="H7" s="13"/>
    </row>
    <row r="8" customFormat="false" ht="15" hidden="false" customHeight="false" outlineLevel="0" collapsed="false">
      <c r="A8" s="13" t="s">
        <v>59</v>
      </c>
      <c r="B8" s="13" t="s">
        <v>60</v>
      </c>
      <c r="C8" s="13" t="s">
        <v>61</v>
      </c>
      <c r="D8" s="13" t="s">
        <v>44</v>
      </c>
      <c r="E8" s="13" t="s">
        <v>62</v>
      </c>
      <c r="F8" s="13" t="s">
        <v>63</v>
      </c>
      <c r="G8" s="14" t="n">
        <f aca="true">TODAY()+14</f>
        <v>46235</v>
      </c>
      <c r="H8" s="13"/>
    </row>
    <row r="9" customFormat="false" ht="20.85" hidden="false" customHeight="false" outlineLevel="0" collapsed="false">
      <c r="A9" s="13" t="s">
        <v>64</v>
      </c>
      <c r="B9" s="13" t="s">
        <v>65</v>
      </c>
      <c r="C9" s="13" t="s">
        <v>66</v>
      </c>
      <c r="D9" s="13" t="s">
        <v>51</v>
      </c>
      <c r="E9" s="13" t="s">
        <v>67</v>
      </c>
      <c r="F9" s="13" t="s">
        <v>68</v>
      </c>
      <c r="G9" s="14" t="n">
        <f aca="true">TODAY()+30</f>
        <v>46251</v>
      </c>
      <c r="H9" s="13"/>
    </row>
    <row r="10" customFormat="false" ht="15" hidden="false" customHeight="false" outlineLevel="0" collapsed="false">
      <c r="A10" s="13" t="s">
        <v>69</v>
      </c>
      <c r="B10" s="13" t="s">
        <v>65</v>
      </c>
      <c r="C10" s="13" t="s">
        <v>70</v>
      </c>
      <c r="D10" s="13" t="s">
        <v>51</v>
      </c>
      <c r="E10" s="13" t="s">
        <v>71</v>
      </c>
      <c r="F10" s="13" t="s">
        <v>72</v>
      </c>
      <c r="G10" s="14" t="n">
        <f aca="true">TODAY()+30</f>
        <v>46251</v>
      </c>
      <c r="H10" s="13"/>
    </row>
    <row r="11" customFormat="false" ht="15" hidden="false" customHeight="false" outlineLevel="0" collapsed="false">
      <c r="A11" s="13" t="s">
        <v>73</v>
      </c>
      <c r="B11" s="13" t="s">
        <v>74</v>
      </c>
      <c r="C11" s="13" t="s">
        <v>75</v>
      </c>
      <c r="D11" s="13" t="s">
        <v>76</v>
      </c>
      <c r="E11" s="13" t="s">
        <v>44</v>
      </c>
      <c r="F11" s="13" t="s">
        <v>77</v>
      </c>
      <c r="G11" s="14" t="n">
        <f aca="true">TODAY()+90</f>
        <v>46311</v>
      </c>
      <c r="H11" s="13"/>
    </row>
    <row r="12" customFormat="false" ht="15" hidden="false" customHeight="false" outlineLevel="0" collapsed="false">
      <c r="A12" s="15"/>
      <c r="B12" s="15"/>
      <c r="C12" s="15"/>
      <c r="D12" s="15"/>
      <c r="E12" s="15"/>
      <c r="F12" s="15"/>
      <c r="G12" s="15"/>
      <c r="H12" s="15"/>
    </row>
    <row r="13" customFormat="false" ht="15" hidden="false" customHeight="false" outlineLevel="0" collapsed="false">
      <c r="A13" s="15"/>
      <c r="B13" s="15"/>
      <c r="C13" s="15"/>
      <c r="D13" s="15"/>
      <c r="E13" s="15"/>
      <c r="F13" s="15"/>
      <c r="G13" s="15"/>
      <c r="H13" s="15"/>
    </row>
    <row r="14" customFormat="false" ht="15" hidden="false" customHeight="false" outlineLevel="0" collapsed="false">
      <c r="A14" s="15"/>
      <c r="B14" s="15"/>
      <c r="C14" s="15"/>
      <c r="D14" s="15"/>
      <c r="E14" s="15"/>
      <c r="F14" s="15"/>
      <c r="G14" s="15"/>
      <c r="H14" s="15"/>
    </row>
    <row r="15" customFormat="false" ht="15" hidden="false" customHeight="false" outlineLevel="0" collapsed="false">
      <c r="A15" s="15"/>
      <c r="B15" s="15"/>
      <c r="C15" s="15"/>
      <c r="D15" s="15"/>
      <c r="E15" s="15"/>
      <c r="F15" s="15"/>
      <c r="G15" s="15"/>
      <c r="H15" s="15"/>
    </row>
    <row r="16" customFormat="false" ht="15" hidden="false" customHeight="false" outlineLevel="0" collapsed="false">
      <c r="A16" s="15"/>
      <c r="B16" s="15"/>
      <c r="C16" s="15"/>
      <c r="D16" s="15"/>
      <c r="E16" s="15"/>
      <c r="F16" s="15"/>
      <c r="G16" s="15"/>
      <c r="H16" s="15"/>
    </row>
    <row r="17" customFormat="false" ht="15" hidden="false" customHeight="false" outlineLevel="0" collapsed="false">
      <c r="A17" s="15"/>
      <c r="B17" s="15"/>
      <c r="C17" s="15"/>
      <c r="D17" s="15"/>
      <c r="E17" s="15"/>
      <c r="F17" s="15"/>
      <c r="G17" s="15"/>
      <c r="H17" s="15"/>
    </row>
    <row r="18" customFormat="false" ht="15" hidden="false" customHeight="false" outlineLevel="0" collapsed="false">
      <c r="A18" s="15"/>
      <c r="B18" s="15"/>
      <c r="C18" s="15"/>
      <c r="D18" s="15"/>
      <c r="E18" s="15"/>
      <c r="F18" s="15"/>
      <c r="G18" s="15"/>
      <c r="H18" s="15"/>
    </row>
    <row r="19" customFormat="false" ht="15" hidden="false" customHeight="false" outlineLevel="0" collapsed="false">
      <c r="A19" s="15"/>
      <c r="B19" s="15"/>
      <c r="C19" s="15"/>
      <c r="D19" s="15"/>
      <c r="E19" s="15"/>
      <c r="F19" s="15"/>
      <c r="G19" s="15"/>
      <c r="H19" s="15"/>
    </row>
    <row r="20" customFormat="false" ht="15" hidden="false" customHeight="false" outlineLevel="0" collapsed="false">
      <c r="A20" s="15"/>
      <c r="B20" s="15"/>
      <c r="C20" s="15"/>
      <c r="D20" s="15"/>
      <c r="E20" s="15"/>
      <c r="F20" s="15"/>
      <c r="G20" s="15"/>
      <c r="H20" s="15"/>
    </row>
    <row r="21" customFormat="false" ht="15" hidden="false" customHeight="false" outlineLevel="0" collapsed="false">
      <c r="A21" s="15"/>
      <c r="B21" s="15"/>
      <c r="C21" s="15"/>
      <c r="D21" s="15"/>
      <c r="E21" s="15"/>
      <c r="F21" s="15"/>
      <c r="G21" s="15"/>
      <c r="H21" s="15"/>
    </row>
    <row r="22" customFormat="false" ht="15" hidden="false" customHeight="false" outlineLevel="0" collapsed="false">
      <c r="A22" s="15"/>
      <c r="B22" s="15"/>
      <c r="C22" s="15"/>
      <c r="D22" s="15"/>
      <c r="E22" s="15"/>
      <c r="F22" s="15"/>
      <c r="G22" s="15"/>
      <c r="H22" s="15"/>
    </row>
    <row r="23" customFormat="false" ht="15" hidden="false" customHeight="false" outlineLevel="0" collapsed="false">
      <c r="A23" s="15"/>
      <c r="B23" s="15"/>
      <c r="C23" s="15"/>
      <c r="D23" s="15"/>
      <c r="E23" s="15"/>
      <c r="F23" s="15"/>
      <c r="G23" s="15"/>
      <c r="H23" s="15"/>
    </row>
    <row r="24" customFormat="false" ht="15" hidden="false" customHeight="false" outlineLevel="0" collapsed="false">
      <c r="A24" s="15"/>
      <c r="B24" s="15"/>
      <c r="C24" s="15"/>
      <c r="D24" s="15"/>
      <c r="E24" s="15"/>
      <c r="F24" s="15"/>
      <c r="G24" s="15"/>
      <c r="H24" s="15"/>
    </row>
    <row r="25" customFormat="false" ht="15" hidden="false" customHeight="false" outlineLevel="0" collapsed="false">
      <c r="A25" s="15"/>
      <c r="B25" s="15"/>
      <c r="C25" s="15"/>
      <c r="D25" s="15"/>
      <c r="E25" s="15"/>
      <c r="F25" s="15"/>
      <c r="G25" s="15"/>
      <c r="H25" s="15"/>
    </row>
    <row r="26" customFormat="false" ht="15" hidden="false" customHeight="false" outlineLevel="0" collapsed="false">
      <c r="A26" s="15"/>
      <c r="B26" s="15"/>
      <c r="C26" s="15"/>
      <c r="D26" s="15"/>
      <c r="E26" s="15"/>
      <c r="F26" s="15"/>
      <c r="G26" s="15"/>
      <c r="H26" s="15"/>
    </row>
    <row r="27" customFormat="false" ht="15" hidden="false" customHeight="false" outlineLevel="0" collapsed="false">
      <c r="A27" s="15"/>
      <c r="B27" s="15"/>
      <c r="C27" s="15"/>
      <c r="D27" s="15"/>
      <c r="E27" s="15"/>
      <c r="F27" s="15"/>
      <c r="G27" s="15"/>
      <c r="H27" s="15"/>
    </row>
    <row r="28" customFormat="false" ht="15" hidden="false" customHeight="false" outlineLevel="0" collapsed="false">
      <c r="A28" s="15"/>
      <c r="B28" s="15"/>
      <c r="C28" s="15"/>
      <c r="D28" s="15"/>
      <c r="E28" s="15"/>
      <c r="F28" s="15"/>
      <c r="G28" s="15"/>
      <c r="H28" s="15"/>
    </row>
    <row r="29" customFormat="false" ht="15" hidden="false" customHeight="false" outlineLevel="0" collapsed="false">
      <c r="A29" s="15"/>
      <c r="B29" s="15"/>
      <c r="C29" s="15"/>
      <c r="D29" s="15"/>
      <c r="E29" s="15"/>
      <c r="F29" s="15"/>
      <c r="G29" s="15"/>
      <c r="H29" s="15"/>
    </row>
    <row r="30" customFormat="false" ht="15" hidden="false" customHeight="false" outlineLevel="0" collapsed="false">
      <c r="A30" s="15"/>
      <c r="B30" s="15"/>
      <c r="C30" s="15"/>
      <c r="D30" s="15"/>
      <c r="E30" s="15"/>
      <c r="F30" s="15"/>
      <c r="G30" s="15"/>
      <c r="H30" s="15"/>
    </row>
    <row r="31" customFormat="false" ht="15" hidden="false" customHeight="false" outlineLevel="0" collapsed="false">
      <c r="A31" s="15"/>
      <c r="B31" s="15"/>
      <c r="C31" s="15"/>
      <c r="D31" s="15"/>
      <c r="E31" s="15"/>
      <c r="F31" s="15"/>
      <c r="G31" s="15"/>
      <c r="H31" s="15"/>
    </row>
    <row r="32" customFormat="false" ht="15" hidden="false" customHeight="false" outlineLevel="0" collapsed="false">
      <c r="A32" s="15"/>
      <c r="B32" s="15"/>
      <c r="C32" s="15"/>
      <c r="D32" s="15"/>
      <c r="E32" s="15"/>
      <c r="F32" s="15"/>
      <c r="G32" s="15"/>
      <c r="H32" s="15"/>
    </row>
    <row r="33" customFormat="false" ht="15" hidden="false" customHeight="false" outlineLevel="0" collapsed="false">
      <c r="A33" s="15"/>
      <c r="B33" s="15"/>
      <c r="C33" s="15"/>
      <c r="D33" s="15"/>
      <c r="E33" s="15"/>
      <c r="F33" s="15"/>
      <c r="G33" s="15"/>
      <c r="H33" s="15"/>
    </row>
    <row r="34" customFormat="false" ht="15" hidden="false" customHeight="false" outlineLevel="0" collapsed="false">
      <c r="A34" s="15"/>
      <c r="B34" s="15"/>
      <c r="C34" s="15"/>
      <c r="D34" s="15"/>
      <c r="E34" s="15"/>
      <c r="F34" s="15"/>
      <c r="G34" s="15"/>
      <c r="H34" s="15"/>
    </row>
    <row r="35" customFormat="false" ht="15" hidden="false" customHeight="false" outlineLevel="0" collapsed="false">
      <c r="A35" s="15"/>
      <c r="B35" s="15"/>
      <c r="C35" s="15"/>
      <c r="D35" s="15"/>
      <c r="E35" s="15"/>
      <c r="F35" s="15"/>
      <c r="G35" s="15"/>
      <c r="H35" s="15"/>
    </row>
    <row r="36" customFormat="false" ht="15" hidden="false" customHeight="false" outlineLevel="0" collapsed="false">
      <c r="A36" s="15"/>
      <c r="B36" s="15"/>
      <c r="C36" s="15"/>
      <c r="D36" s="15"/>
      <c r="E36" s="15"/>
      <c r="F36" s="15"/>
      <c r="G36" s="15"/>
      <c r="H36" s="15"/>
    </row>
    <row r="37" customFormat="false" ht="15" hidden="false" customHeight="false" outlineLevel="0" collapsed="false">
      <c r="A37" s="15"/>
      <c r="B37" s="15"/>
      <c r="C37" s="15"/>
      <c r="D37" s="15"/>
      <c r="E37" s="15"/>
      <c r="F37" s="15"/>
      <c r="G37" s="15"/>
      <c r="H37" s="15"/>
    </row>
    <row r="38" customFormat="false" ht="15" hidden="false" customHeight="false" outlineLevel="0" collapsed="false">
      <c r="A38" s="15"/>
      <c r="B38" s="15"/>
      <c r="C38" s="15"/>
      <c r="D38" s="15"/>
      <c r="E38" s="15"/>
      <c r="F38" s="15"/>
      <c r="G38" s="15"/>
      <c r="H38" s="15"/>
    </row>
    <row r="39" customFormat="false" ht="15" hidden="false" customHeight="false" outlineLevel="0" collapsed="false">
      <c r="A39" s="15"/>
      <c r="B39" s="15"/>
      <c r="C39" s="15"/>
      <c r="D39" s="15"/>
      <c r="E39" s="15"/>
      <c r="F39" s="15"/>
      <c r="G39" s="15"/>
      <c r="H39" s="15"/>
    </row>
    <row r="40" customFormat="false" ht="15" hidden="false" customHeight="false" outlineLevel="0" collapsed="false">
      <c r="A40" s="15"/>
      <c r="B40" s="15"/>
      <c r="C40" s="15"/>
      <c r="D40" s="15"/>
      <c r="E40" s="15"/>
      <c r="F40" s="15"/>
      <c r="G40" s="15"/>
      <c r="H40" s="15"/>
    </row>
    <row r="41" customFormat="false" ht="15" hidden="false" customHeight="false" outlineLevel="0" collapsed="false">
      <c r="A41" s="15"/>
      <c r="B41" s="15"/>
      <c r="C41" s="15"/>
      <c r="D41" s="15"/>
      <c r="E41" s="15"/>
      <c r="F41" s="15"/>
      <c r="G41" s="15"/>
      <c r="H41" s="15"/>
    </row>
    <row r="42" customFormat="false" ht="15" hidden="false" customHeight="false" outlineLevel="0" collapsed="false">
      <c r="A42" s="15"/>
      <c r="B42" s="15"/>
      <c r="C42" s="15"/>
      <c r="D42" s="15"/>
      <c r="E42" s="15"/>
      <c r="F42" s="15"/>
      <c r="G42" s="15"/>
      <c r="H42" s="15"/>
    </row>
    <row r="43" customFormat="false" ht="15" hidden="false" customHeight="false" outlineLevel="0" collapsed="false">
      <c r="A43" s="15"/>
      <c r="B43" s="15"/>
      <c r="C43" s="15"/>
      <c r="D43" s="15"/>
      <c r="E43" s="15"/>
      <c r="F43" s="15"/>
      <c r="G43" s="15"/>
      <c r="H43" s="15"/>
    </row>
    <row r="44" customFormat="false" ht="15" hidden="false" customHeight="false" outlineLevel="0" collapsed="false">
      <c r="A44" s="15"/>
      <c r="B44" s="15"/>
      <c r="C44" s="15"/>
      <c r="D44" s="15"/>
      <c r="E44" s="15"/>
      <c r="F44" s="15"/>
      <c r="G44" s="15"/>
      <c r="H44" s="15"/>
    </row>
    <row r="45" customFormat="false" ht="15" hidden="false" customHeight="false" outlineLevel="0" collapsed="false">
      <c r="A45" s="15"/>
      <c r="B45" s="15"/>
      <c r="C45" s="15"/>
      <c r="D45" s="15"/>
      <c r="E45" s="15"/>
      <c r="F45" s="15"/>
      <c r="G45" s="15"/>
      <c r="H45" s="15"/>
    </row>
    <row r="46" customFormat="false" ht="15" hidden="false" customHeight="false" outlineLevel="0" collapsed="false">
      <c r="A46" s="15"/>
      <c r="B46" s="15"/>
      <c r="C46" s="15"/>
      <c r="D46" s="15"/>
      <c r="E46" s="15"/>
      <c r="F46" s="15"/>
      <c r="G46" s="15"/>
      <c r="H46" s="15"/>
    </row>
    <row r="47" customFormat="false" ht="15" hidden="false" customHeight="false" outlineLevel="0" collapsed="false">
      <c r="A47" s="15"/>
      <c r="B47" s="15"/>
      <c r="C47" s="15"/>
      <c r="D47" s="15"/>
      <c r="E47" s="15"/>
      <c r="F47" s="15"/>
      <c r="G47" s="15"/>
      <c r="H47" s="15"/>
    </row>
    <row r="48" customFormat="false" ht="15" hidden="false" customHeight="false" outlineLevel="0" collapsed="false">
      <c r="A48" s="15"/>
      <c r="B48" s="15"/>
      <c r="C48" s="15"/>
      <c r="D48" s="15"/>
      <c r="E48" s="15"/>
      <c r="F48" s="15"/>
      <c r="G48" s="15"/>
      <c r="H48" s="15"/>
    </row>
    <row r="49" customFormat="false" ht="15" hidden="false" customHeight="false" outlineLevel="0" collapsed="false">
      <c r="A49" s="15"/>
      <c r="B49" s="15"/>
      <c r="C49" s="15"/>
      <c r="D49" s="15"/>
      <c r="E49" s="15"/>
      <c r="F49" s="15"/>
      <c r="G49" s="15"/>
      <c r="H49" s="15"/>
    </row>
    <row r="50" customFormat="false" ht="15" hidden="false" customHeight="false" outlineLevel="0" collapsed="false">
      <c r="A50" s="15"/>
      <c r="B50" s="15"/>
      <c r="C50" s="15"/>
      <c r="D50" s="15"/>
      <c r="E50" s="15"/>
      <c r="F50" s="15"/>
      <c r="G50" s="15"/>
      <c r="H50" s="15"/>
    </row>
    <row r="51" customFormat="false" ht="15" hidden="false" customHeight="false" outlineLevel="0" collapsed="false">
      <c r="A51" s="15"/>
      <c r="B51" s="15"/>
      <c r="C51" s="15"/>
      <c r="D51" s="15"/>
      <c r="E51" s="15"/>
      <c r="F51" s="15"/>
      <c r="G51" s="15"/>
      <c r="H51" s="15"/>
    </row>
    <row r="52" customFormat="false" ht="15" hidden="false" customHeight="false" outlineLevel="0" collapsed="false">
      <c r="A52" s="15"/>
      <c r="B52" s="15"/>
      <c r="C52" s="15"/>
      <c r="D52" s="15"/>
      <c r="E52" s="15"/>
      <c r="F52" s="15"/>
      <c r="G52" s="15"/>
      <c r="H52" s="15"/>
    </row>
    <row r="53" customFormat="false" ht="15" hidden="false" customHeight="false" outlineLevel="0" collapsed="false">
      <c r="A53" s="15"/>
      <c r="B53" s="15"/>
      <c r="C53" s="15"/>
      <c r="D53" s="15"/>
      <c r="E53" s="15"/>
      <c r="F53" s="15"/>
      <c r="G53" s="15"/>
      <c r="H53" s="15"/>
    </row>
    <row r="54" customFormat="false" ht="15" hidden="false" customHeight="false" outlineLevel="0" collapsed="false">
      <c r="A54" s="15"/>
      <c r="B54" s="15"/>
      <c r="C54" s="15"/>
      <c r="D54" s="15"/>
      <c r="E54" s="15"/>
      <c r="F54" s="15"/>
      <c r="G54" s="15"/>
      <c r="H54" s="15"/>
    </row>
    <row r="55" customFormat="false" ht="15" hidden="false" customHeight="false" outlineLevel="0" collapsed="false">
      <c r="A55" s="15"/>
      <c r="B55" s="15"/>
      <c r="C55" s="15"/>
      <c r="D55" s="15"/>
      <c r="E55" s="15"/>
      <c r="F55" s="15"/>
      <c r="G55" s="15"/>
      <c r="H55" s="15"/>
    </row>
    <row r="56" customFormat="false" ht="15" hidden="false" customHeight="false" outlineLevel="0" collapsed="false">
      <c r="A56" s="15"/>
      <c r="B56" s="15"/>
      <c r="C56" s="15"/>
      <c r="D56" s="15"/>
      <c r="E56" s="15"/>
      <c r="F56" s="15"/>
      <c r="G56" s="15"/>
      <c r="H56" s="15"/>
    </row>
    <row r="57" customFormat="false" ht="15" hidden="false" customHeight="false" outlineLevel="0" collapsed="false">
      <c r="A57" s="15"/>
      <c r="B57" s="15"/>
      <c r="C57" s="15"/>
      <c r="D57" s="15"/>
      <c r="E57" s="15"/>
      <c r="F57" s="15"/>
      <c r="G57" s="15"/>
      <c r="H57" s="15"/>
    </row>
    <row r="58" customFormat="false" ht="15" hidden="false" customHeight="false" outlineLevel="0" collapsed="false">
      <c r="A58" s="15"/>
      <c r="B58" s="15"/>
      <c r="C58" s="15"/>
      <c r="D58" s="15"/>
      <c r="E58" s="15"/>
      <c r="F58" s="15"/>
      <c r="G58" s="15"/>
      <c r="H58" s="15"/>
    </row>
    <row r="59" customFormat="false" ht="15" hidden="false" customHeight="false" outlineLevel="0" collapsed="false">
      <c r="A59" s="15"/>
      <c r="B59" s="15"/>
      <c r="C59" s="15"/>
      <c r="D59" s="15"/>
      <c r="E59" s="15"/>
      <c r="F59" s="15"/>
      <c r="G59" s="15"/>
      <c r="H59" s="15"/>
    </row>
    <row r="60" customFormat="false" ht="15" hidden="false" customHeight="false" outlineLevel="0" collapsed="false">
      <c r="A60" s="15"/>
      <c r="B60" s="15"/>
      <c r="C60" s="15"/>
      <c r="D60" s="15"/>
      <c r="E60" s="15"/>
      <c r="F60" s="15"/>
      <c r="G60" s="15"/>
      <c r="H60" s="15"/>
    </row>
    <row r="61" customFormat="false" ht="15" hidden="false" customHeight="false" outlineLevel="0" collapsed="false">
      <c r="A61" s="15"/>
      <c r="B61" s="15"/>
      <c r="C61" s="15"/>
      <c r="D61" s="15"/>
      <c r="E61" s="15"/>
      <c r="F61" s="15"/>
      <c r="G61" s="15"/>
      <c r="H61" s="15"/>
    </row>
    <row r="62" customFormat="false" ht="15" hidden="false" customHeight="false" outlineLevel="0" collapsed="false">
      <c r="A62" s="15"/>
      <c r="B62" s="15"/>
      <c r="C62" s="15"/>
      <c r="D62" s="15"/>
      <c r="E62" s="15"/>
      <c r="F62" s="15"/>
      <c r="G62" s="15"/>
      <c r="H62" s="15"/>
    </row>
    <row r="63" customFormat="false" ht="15" hidden="false" customHeight="false" outlineLevel="0" collapsed="false">
      <c r="A63" s="15"/>
      <c r="B63" s="15"/>
      <c r="C63" s="15"/>
      <c r="D63" s="15"/>
      <c r="E63" s="15"/>
      <c r="F63" s="15"/>
      <c r="G63" s="15"/>
      <c r="H63" s="15"/>
    </row>
  </sheetData>
  <autoFilter ref="A4:H64"/>
  <mergeCells count="2">
    <mergeCell ref="A1:H1"/>
    <mergeCell ref="A2:H2"/>
  </mergeCells>
  <dataValidations count="1">
    <dataValidation allowBlank="true" errorStyle="stop" operator="between" showDropDown="false" showErrorMessage="false" showInputMessage="false" sqref="B5:B64" type="list">
      <formula1>Cadence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8"/>
    <col collapsed="false" customWidth="true" hidden="false" outlineLevel="0" max="4" min="4" style="0" width="14"/>
    <col collapsed="false" customWidth="true" hidden="false" outlineLevel="0" max="5" min="5" style="0" width="18"/>
    <col collapsed="false" customWidth="true" hidden="false" outlineLevel="0" max="6" min="6" style="0" width="30"/>
    <col collapsed="false" customWidth="true" hidden="false" outlineLevel="0" max="7" min="7" style="0" width="12"/>
    <col collapsed="false" customWidth="true" hidden="false" outlineLevel="0" max="8" min="8" style="0" width="14"/>
    <col collapsed="false" customWidth="true" hidden="false" outlineLevel="0" max="9" min="9" style="0" width="12"/>
  </cols>
  <sheetData>
    <row r="1" customFormat="false" ht="25.5" hidden="false" customHeight="true" outlineLevel="0" collapsed="false">
      <c r="A1" s="1" t="s">
        <v>78</v>
      </c>
      <c r="B1" s="1"/>
      <c r="C1" s="1"/>
      <c r="D1" s="1"/>
      <c r="E1" s="1"/>
      <c r="F1" s="1"/>
      <c r="G1" s="1"/>
      <c r="H1" s="1"/>
      <c r="I1" s="1"/>
    </row>
    <row r="2" customFormat="false" ht="15.75" hidden="false" customHeight="true" outlineLevel="0" collapsed="false">
      <c r="A2" s="2" t="s">
        <v>79</v>
      </c>
      <c r="B2" s="2"/>
      <c r="C2" s="2"/>
      <c r="D2" s="2"/>
      <c r="E2" s="2"/>
      <c r="F2" s="2"/>
      <c r="G2" s="2"/>
      <c r="H2" s="2"/>
      <c r="I2" s="2"/>
    </row>
    <row r="4" customFormat="false" ht="35.05" hidden="false" customHeight="false" outlineLevel="0" collapsed="false">
      <c r="A4" s="10" t="s">
        <v>80</v>
      </c>
      <c r="B4" s="10" t="s">
        <v>81</v>
      </c>
      <c r="C4" s="10" t="s">
        <v>82</v>
      </c>
      <c r="D4" s="10" t="s">
        <v>83</v>
      </c>
      <c r="E4" s="10" t="s">
        <v>84</v>
      </c>
      <c r="F4" s="10" t="s">
        <v>85</v>
      </c>
      <c r="G4" s="10" t="s">
        <v>86</v>
      </c>
      <c r="H4" s="10" t="s">
        <v>87</v>
      </c>
      <c r="I4" s="10" t="s">
        <v>88</v>
      </c>
    </row>
    <row r="5" customFormat="false" ht="20.85" hidden="false" customHeight="false" outlineLevel="0" collapsed="false">
      <c r="A5" s="13" t="s">
        <v>89</v>
      </c>
      <c r="B5" s="14" t="n">
        <f aca="true">TODAY()-7</f>
        <v>46214</v>
      </c>
      <c r="C5" s="13" t="s">
        <v>90</v>
      </c>
      <c r="D5" s="13" t="s">
        <v>91</v>
      </c>
      <c r="E5" s="13" t="s">
        <v>51</v>
      </c>
      <c r="F5" s="13" t="s">
        <v>92</v>
      </c>
      <c r="G5" s="13" t="n">
        <v>3</v>
      </c>
      <c r="H5" s="13" t="s">
        <v>93</v>
      </c>
      <c r="I5" s="13" t="s">
        <v>94</v>
      </c>
    </row>
    <row r="6" customFormat="false" ht="15" hidden="false" customHeight="false" outlineLevel="0" collapsed="false">
      <c r="A6" s="13" t="s">
        <v>95</v>
      </c>
      <c r="B6" s="14" t="n">
        <f aca="true">TODAY()-2</f>
        <v>46219</v>
      </c>
      <c r="C6" s="13" t="s">
        <v>56</v>
      </c>
      <c r="D6" s="13" t="s">
        <v>96</v>
      </c>
      <c r="E6" s="13" t="s">
        <v>44</v>
      </c>
      <c r="F6" s="13" t="s">
        <v>97</v>
      </c>
      <c r="G6" s="13" t="n">
        <v>2</v>
      </c>
      <c r="H6" s="13" t="s">
        <v>93</v>
      </c>
      <c r="I6" s="13" t="s">
        <v>94</v>
      </c>
    </row>
    <row r="7" customFormat="false" ht="15" hidden="false" customHeight="false" outlineLevel="0" collapsed="false">
      <c r="A7" s="13" t="s">
        <v>98</v>
      </c>
      <c r="B7" s="14" t="n">
        <f aca="true">TODAY()+5</f>
        <v>46226</v>
      </c>
      <c r="C7" s="13" t="s">
        <v>66</v>
      </c>
      <c r="D7" s="13" t="s">
        <v>99</v>
      </c>
      <c r="E7" s="13" t="s">
        <v>51</v>
      </c>
      <c r="F7" s="13" t="s">
        <v>100</v>
      </c>
      <c r="G7" s="13" t="n">
        <v>0</v>
      </c>
      <c r="H7" s="13" t="s">
        <v>101</v>
      </c>
      <c r="I7" s="13" t="s">
        <v>102</v>
      </c>
    </row>
    <row r="8" customFormat="false" ht="15" hidden="false" customHeight="false" outlineLevel="0" collapsed="false">
      <c r="A8" s="15"/>
      <c r="B8" s="15"/>
      <c r="C8" s="15"/>
      <c r="D8" s="15"/>
      <c r="E8" s="15"/>
      <c r="F8" s="15"/>
      <c r="G8" s="15"/>
      <c r="H8" s="15"/>
      <c r="I8" s="15"/>
    </row>
    <row r="9" customFormat="false" ht="15" hidden="false" customHeight="false" outlineLevel="0" collapsed="false">
      <c r="A9" s="15"/>
      <c r="B9" s="15"/>
      <c r="C9" s="15"/>
      <c r="D9" s="15"/>
      <c r="E9" s="15"/>
      <c r="F9" s="15"/>
      <c r="G9" s="15"/>
      <c r="H9" s="15"/>
      <c r="I9" s="15"/>
    </row>
    <row r="10" customFormat="false" ht="15" hidden="false" customHeight="false" outlineLevel="0" collapsed="false">
      <c r="A10" s="15"/>
      <c r="B10" s="15"/>
      <c r="C10" s="15"/>
      <c r="D10" s="15"/>
      <c r="E10" s="15"/>
      <c r="F10" s="15"/>
      <c r="G10" s="15"/>
      <c r="H10" s="15"/>
      <c r="I10" s="15"/>
    </row>
    <row r="11" customFormat="false" ht="15" hidden="false" customHeight="false" outlineLevel="0" collapsed="false">
      <c r="A11" s="15"/>
      <c r="B11" s="15"/>
      <c r="C11" s="15"/>
      <c r="D11" s="15"/>
      <c r="E11" s="15"/>
      <c r="F11" s="15"/>
      <c r="G11" s="15"/>
      <c r="H11" s="15"/>
      <c r="I11" s="15"/>
    </row>
    <row r="12" customFormat="false" ht="15" hidden="false" customHeight="false" outlineLevel="0" collapsed="false">
      <c r="A12" s="15"/>
      <c r="B12" s="15"/>
      <c r="C12" s="15"/>
      <c r="D12" s="15"/>
      <c r="E12" s="15"/>
      <c r="F12" s="15"/>
      <c r="G12" s="15"/>
      <c r="H12" s="15"/>
      <c r="I12" s="15"/>
    </row>
    <row r="13" customFormat="false" ht="15" hidden="false" customHeight="false" outlineLevel="0" collapsed="false">
      <c r="A13" s="15"/>
      <c r="B13" s="15"/>
      <c r="C13" s="15"/>
      <c r="D13" s="15"/>
      <c r="E13" s="15"/>
      <c r="F13" s="15"/>
      <c r="G13" s="15"/>
      <c r="H13" s="15"/>
      <c r="I13" s="15"/>
    </row>
    <row r="14" customFormat="false" ht="15" hidden="false" customHeight="false" outlineLevel="0" collapsed="false">
      <c r="A14" s="15"/>
      <c r="B14" s="15"/>
      <c r="C14" s="15"/>
      <c r="D14" s="15"/>
      <c r="E14" s="15"/>
      <c r="F14" s="15"/>
      <c r="G14" s="15"/>
      <c r="H14" s="15"/>
      <c r="I14" s="15"/>
    </row>
    <row r="15" customFormat="false" ht="15" hidden="false" customHeight="false" outlineLevel="0" collapsed="false">
      <c r="A15" s="15"/>
      <c r="B15" s="15"/>
      <c r="C15" s="15"/>
      <c r="D15" s="15"/>
      <c r="E15" s="15"/>
      <c r="F15" s="15"/>
      <c r="G15" s="15"/>
      <c r="H15" s="15"/>
      <c r="I15" s="15"/>
    </row>
    <row r="16" customFormat="false" ht="15" hidden="false" customHeight="false" outlineLevel="0" collapsed="false">
      <c r="A16" s="15"/>
      <c r="B16" s="15"/>
      <c r="C16" s="15"/>
      <c r="D16" s="15"/>
      <c r="E16" s="15"/>
      <c r="F16" s="15"/>
      <c r="G16" s="15"/>
      <c r="H16" s="15"/>
      <c r="I16" s="15"/>
    </row>
    <row r="17" customFormat="false" ht="15" hidden="false" customHeight="false" outlineLevel="0" collapsed="false">
      <c r="A17" s="15"/>
      <c r="B17" s="15"/>
      <c r="C17" s="15"/>
      <c r="D17" s="15"/>
      <c r="E17" s="15"/>
      <c r="F17" s="15"/>
      <c r="G17" s="15"/>
      <c r="H17" s="15"/>
      <c r="I17" s="15"/>
    </row>
    <row r="18" customFormat="false" ht="15" hidden="false" customHeight="false" outlineLevel="0" collapsed="false">
      <c r="A18" s="15"/>
      <c r="B18" s="15"/>
      <c r="C18" s="15"/>
      <c r="D18" s="15"/>
      <c r="E18" s="15"/>
      <c r="F18" s="15"/>
      <c r="G18" s="15"/>
      <c r="H18" s="15"/>
      <c r="I18" s="15"/>
    </row>
    <row r="19" customFormat="false" ht="15" hidden="false" customHeight="false" outlineLevel="0" collapsed="false">
      <c r="A19" s="15"/>
      <c r="B19" s="15"/>
      <c r="C19" s="15"/>
      <c r="D19" s="15"/>
      <c r="E19" s="15"/>
      <c r="F19" s="15"/>
      <c r="G19" s="15"/>
      <c r="H19" s="15"/>
      <c r="I19" s="15"/>
    </row>
    <row r="20" customFormat="false" ht="15" hidden="false" customHeight="false" outlineLevel="0" collapsed="false">
      <c r="A20" s="15"/>
      <c r="B20" s="15"/>
      <c r="C20" s="15"/>
      <c r="D20" s="15"/>
      <c r="E20" s="15"/>
      <c r="F20" s="15"/>
      <c r="G20" s="15"/>
      <c r="H20" s="15"/>
      <c r="I20" s="15"/>
    </row>
    <row r="21" customFormat="false" ht="15" hidden="false" customHeight="false" outlineLevel="0" collapsed="false">
      <c r="A21" s="15"/>
      <c r="B21" s="15"/>
      <c r="C21" s="15"/>
      <c r="D21" s="15"/>
      <c r="E21" s="15"/>
      <c r="F21" s="15"/>
      <c r="G21" s="15"/>
      <c r="H21" s="15"/>
      <c r="I21" s="15"/>
    </row>
    <row r="22" customFormat="false" ht="15" hidden="false" customHeight="false" outlineLevel="0" collapsed="false">
      <c r="A22" s="15"/>
      <c r="B22" s="15"/>
      <c r="C22" s="15"/>
      <c r="D22" s="15"/>
      <c r="E22" s="15"/>
      <c r="F22" s="15"/>
      <c r="G22" s="15"/>
      <c r="H22" s="15"/>
      <c r="I22" s="15"/>
    </row>
    <row r="23" customFormat="false" ht="15" hidden="false" customHeight="false" outlineLevel="0" collapsed="false">
      <c r="A23" s="15"/>
      <c r="B23" s="15"/>
      <c r="C23" s="15"/>
      <c r="D23" s="15"/>
      <c r="E23" s="15"/>
      <c r="F23" s="15"/>
      <c r="G23" s="15"/>
      <c r="H23" s="15"/>
      <c r="I23" s="15"/>
    </row>
    <row r="24" customFormat="false" ht="15" hidden="false" customHeight="false" outlineLevel="0" collapsed="false">
      <c r="A24" s="15"/>
      <c r="B24" s="15"/>
      <c r="C24" s="15"/>
      <c r="D24" s="15"/>
      <c r="E24" s="15"/>
      <c r="F24" s="15"/>
      <c r="G24" s="15"/>
      <c r="H24" s="15"/>
      <c r="I24" s="15"/>
    </row>
    <row r="25" customFormat="false" ht="15" hidden="false" customHeight="false" outlineLevel="0" collapsed="false">
      <c r="A25" s="15"/>
      <c r="B25" s="15"/>
      <c r="C25" s="15"/>
      <c r="D25" s="15"/>
      <c r="E25" s="15"/>
      <c r="F25" s="15"/>
      <c r="G25" s="15"/>
      <c r="H25" s="15"/>
      <c r="I25" s="15"/>
    </row>
    <row r="26" customFormat="false" ht="15" hidden="false" customHeight="false" outlineLevel="0" collapsed="false">
      <c r="A26" s="15"/>
      <c r="B26" s="15"/>
      <c r="C26" s="15"/>
      <c r="D26" s="15"/>
      <c r="E26" s="15"/>
      <c r="F26" s="15"/>
      <c r="G26" s="15"/>
      <c r="H26" s="15"/>
      <c r="I26" s="15"/>
    </row>
    <row r="27" customFormat="false" ht="15" hidden="false" customHeight="false" outlineLevel="0" collapsed="false">
      <c r="A27" s="15"/>
      <c r="B27" s="15"/>
      <c r="C27" s="15"/>
      <c r="D27" s="15"/>
      <c r="E27" s="15"/>
      <c r="F27" s="15"/>
      <c r="G27" s="15"/>
      <c r="H27" s="15"/>
      <c r="I27" s="15"/>
    </row>
    <row r="28" customFormat="false" ht="15" hidden="false" customHeight="false" outlineLevel="0" collapsed="false">
      <c r="A28" s="15"/>
      <c r="B28" s="15"/>
      <c r="C28" s="15"/>
      <c r="D28" s="15"/>
      <c r="E28" s="15"/>
      <c r="F28" s="15"/>
      <c r="G28" s="15"/>
      <c r="H28" s="15"/>
      <c r="I28" s="15"/>
    </row>
    <row r="29" customFormat="false" ht="15" hidden="false" customHeight="false" outlineLevel="0" collapsed="false">
      <c r="A29" s="15"/>
      <c r="B29" s="15"/>
      <c r="C29" s="15"/>
      <c r="D29" s="15"/>
      <c r="E29" s="15"/>
      <c r="F29" s="15"/>
      <c r="G29" s="15"/>
      <c r="H29" s="15"/>
      <c r="I29" s="15"/>
    </row>
    <row r="30" customFormat="false" ht="15" hidden="false" customHeight="false" outlineLevel="0" collapsed="false">
      <c r="A30" s="15"/>
      <c r="B30" s="15"/>
      <c r="C30" s="15"/>
      <c r="D30" s="15"/>
      <c r="E30" s="15"/>
      <c r="F30" s="15"/>
      <c r="G30" s="15"/>
      <c r="H30" s="15"/>
      <c r="I30" s="15"/>
    </row>
    <row r="31" customFormat="false" ht="15" hidden="false" customHeight="false" outlineLevel="0" collapsed="false">
      <c r="A31" s="15"/>
      <c r="B31" s="15"/>
      <c r="C31" s="15"/>
      <c r="D31" s="15"/>
      <c r="E31" s="15"/>
      <c r="F31" s="15"/>
      <c r="G31" s="15"/>
      <c r="H31" s="15"/>
      <c r="I31" s="15"/>
    </row>
    <row r="32" customFormat="false" ht="15" hidden="false" customHeight="false" outlineLevel="0" collapsed="false">
      <c r="A32" s="15"/>
      <c r="B32" s="15"/>
      <c r="C32" s="15"/>
      <c r="D32" s="15"/>
      <c r="E32" s="15"/>
      <c r="F32" s="15"/>
      <c r="G32" s="15"/>
      <c r="H32" s="15"/>
      <c r="I32" s="15"/>
    </row>
    <row r="33" customFormat="false" ht="15" hidden="false" customHeight="false" outlineLevel="0" collapsed="false">
      <c r="A33" s="15"/>
      <c r="B33" s="15"/>
      <c r="C33" s="15"/>
      <c r="D33" s="15"/>
      <c r="E33" s="15"/>
      <c r="F33" s="15"/>
      <c r="G33" s="15"/>
      <c r="H33" s="15"/>
      <c r="I33" s="15"/>
    </row>
    <row r="34" customFormat="false" ht="15" hidden="false" customHeight="false" outlineLevel="0" collapsed="false">
      <c r="A34" s="15"/>
      <c r="B34" s="15"/>
      <c r="C34" s="15"/>
      <c r="D34" s="15"/>
      <c r="E34" s="15"/>
      <c r="F34" s="15"/>
      <c r="G34" s="15"/>
      <c r="H34" s="15"/>
      <c r="I34" s="15"/>
    </row>
    <row r="35" customFormat="false" ht="15" hidden="false" customHeight="false" outlineLevel="0" collapsed="false">
      <c r="A35" s="15"/>
      <c r="B35" s="15"/>
      <c r="C35" s="15"/>
      <c r="D35" s="15"/>
      <c r="E35" s="15"/>
      <c r="F35" s="15"/>
      <c r="G35" s="15"/>
      <c r="H35" s="15"/>
      <c r="I35" s="15"/>
    </row>
    <row r="36" customFormat="false" ht="15" hidden="false" customHeight="false" outlineLevel="0" collapsed="false">
      <c r="A36" s="15"/>
      <c r="B36" s="15"/>
      <c r="C36" s="15"/>
      <c r="D36" s="15"/>
      <c r="E36" s="15"/>
      <c r="F36" s="15"/>
      <c r="G36" s="15"/>
      <c r="H36" s="15"/>
      <c r="I36" s="15"/>
    </row>
    <row r="37" customFormat="false" ht="15" hidden="false" customHeight="false" outlineLevel="0" collapsed="false">
      <c r="A37" s="15"/>
      <c r="B37" s="15"/>
      <c r="C37" s="15"/>
      <c r="D37" s="15"/>
      <c r="E37" s="15"/>
      <c r="F37" s="15"/>
      <c r="G37" s="15"/>
      <c r="H37" s="15"/>
      <c r="I37" s="15"/>
    </row>
    <row r="38" customFormat="false" ht="15" hidden="false" customHeight="false" outlineLevel="0" collapsed="false">
      <c r="A38" s="15"/>
      <c r="B38" s="15"/>
      <c r="C38" s="15"/>
      <c r="D38" s="15"/>
      <c r="E38" s="15"/>
      <c r="F38" s="15"/>
      <c r="G38" s="15"/>
      <c r="H38" s="15"/>
      <c r="I38" s="15"/>
    </row>
    <row r="39" customFormat="false" ht="15" hidden="false" customHeight="false" outlineLevel="0" collapsed="false">
      <c r="A39" s="15"/>
      <c r="B39" s="15"/>
      <c r="C39" s="15"/>
      <c r="D39" s="15"/>
      <c r="E39" s="15"/>
      <c r="F39" s="15"/>
      <c r="G39" s="15"/>
      <c r="H39" s="15"/>
      <c r="I39" s="15"/>
    </row>
    <row r="40" customFormat="false" ht="15" hidden="false" customHeight="false" outlineLevel="0" collapsed="false">
      <c r="A40" s="15"/>
      <c r="B40" s="15"/>
      <c r="C40" s="15"/>
      <c r="D40" s="15"/>
      <c r="E40" s="15"/>
      <c r="F40" s="15"/>
      <c r="G40" s="15"/>
      <c r="H40" s="15"/>
      <c r="I40" s="15"/>
    </row>
    <row r="41" customFormat="false" ht="15" hidden="false" customHeight="false" outlineLevel="0" collapsed="false">
      <c r="A41" s="15"/>
      <c r="B41" s="15"/>
      <c r="C41" s="15"/>
      <c r="D41" s="15"/>
      <c r="E41" s="15"/>
      <c r="F41" s="15"/>
      <c r="G41" s="15"/>
      <c r="H41" s="15"/>
      <c r="I41" s="15"/>
    </row>
    <row r="42" customFormat="false" ht="15" hidden="false" customHeight="false" outlineLevel="0" collapsed="false">
      <c r="A42" s="15"/>
      <c r="B42" s="15"/>
      <c r="C42" s="15"/>
      <c r="D42" s="15"/>
      <c r="E42" s="15"/>
      <c r="F42" s="15"/>
      <c r="G42" s="15"/>
      <c r="H42" s="15"/>
      <c r="I42" s="15"/>
    </row>
    <row r="43" customFormat="false" ht="15" hidden="false" customHeight="false" outlineLevel="0" collapsed="false">
      <c r="A43" s="15"/>
      <c r="B43" s="15"/>
      <c r="C43" s="15"/>
      <c r="D43" s="15"/>
      <c r="E43" s="15"/>
      <c r="F43" s="15"/>
      <c r="G43" s="15"/>
      <c r="H43" s="15"/>
      <c r="I43" s="15"/>
    </row>
    <row r="44" customFormat="false" ht="15" hidden="false" customHeight="false" outlineLevel="0" collapsed="false">
      <c r="A44" s="15"/>
      <c r="B44" s="15"/>
      <c r="C44" s="15"/>
      <c r="D44" s="15"/>
      <c r="E44" s="15"/>
      <c r="F44" s="15"/>
      <c r="G44" s="15"/>
      <c r="H44" s="15"/>
      <c r="I44" s="15"/>
    </row>
    <row r="45" customFormat="false" ht="15" hidden="false" customHeight="false" outlineLevel="0" collapsed="false">
      <c r="A45" s="15"/>
      <c r="B45" s="15"/>
      <c r="C45" s="15"/>
      <c r="D45" s="15"/>
      <c r="E45" s="15"/>
      <c r="F45" s="15"/>
      <c r="G45" s="15"/>
      <c r="H45" s="15"/>
      <c r="I45" s="15"/>
    </row>
    <row r="46" customFormat="false" ht="15" hidden="false" customHeight="false" outlineLevel="0" collapsed="false">
      <c r="A46" s="15"/>
      <c r="B46" s="15"/>
      <c r="C46" s="15"/>
      <c r="D46" s="15"/>
      <c r="E46" s="15"/>
      <c r="F46" s="15"/>
      <c r="G46" s="15"/>
      <c r="H46" s="15"/>
      <c r="I46" s="15"/>
    </row>
    <row r="47" customFormat="false" ht="15" hidden="false" customHeight="false" outlineLevel="0" collapsed="false">
      <c r="A47" s="15"/>
      <c r="B47" s="15"/>
      <c r="C47" s="15"/>
      <c r="D47" s="15"/>
      <c r="E47" s="15"/>
      <c r="F47" s="15"/>
      <c r="G47" s="15"/>
      <c r="H47" s="15"/>
      <c r="I47" s="15"/>
    </row>
    <row r="48" customFormat="false" ht="15" hidden="false" customHeight="false" outlineLevel="0" collapsed="false">
      <c r="A48" s="15"/>
      <c r="B48" s="15"/>
      <c r="C48" s="15"/>
      <c r="D48" s="15"/>
      <c r="E48" s="15"/>
      <c r="F48" s="15"/>
      <c r="G48" s="15"/>
      <c r="H48" s="15"/>
      <c r="I48" s="15"/>
    </row>
    <row r="49" customFormat="false" ht="15" hidden="false" customHeight="false" outlineLevel="0" collapsed="false">
      <c r="A49" s="15"/>
      <c r="B49" s="15"/>
      <c r="C49" s="15"/>
      <c r="D49" s="15"/>
      <c r="E49" s="15"/>
      <c r="F49" s="15"/>
      <c r="G49" s="15"/>
      <c r="H49" s="15"/>
      <c r="I49" s="15"/>
    </row>
    <row r="50" customFormat="false" ht="15" hidden="false" customHeight="false" outlineLevel="0" collapsed="false">
      <c r="A50" s="15"/>
      <c r="B50" s="15"/>
      <c r="C50" s="15"/>
      <c r="D50" s="15"/>
      <c r="E50" s="15"/>
      <c r="F50" s="15"/>
      <c r="G50" s="15"/>
      <c r="H50" s="15"/>
      <c r="I50" s="15"/>
    </row>
    <row r="51" customFormat="false" ht="15" hidden="false" customHeight="false" outlineLevel="0" collapsed="false">
      <c r="A51" s="15"/>
      <c r="B51" s="15"/>
      <c r="C51" s="15"/>
      <c r="D51" s="15"/>
      <c r="E51" s="15"/>
      <c r="F51" s="15"/>
      <c r="G51" s="15"/>
      <c r="H51" s="15"/>
      <c r="I51" s="15"/>
    </row>
    <row r="52" customFormat="false" ht="15" hidden="false" customHeight="false" outlineLevel="0" collapsed="false">
      <c r="A52" s="15"/>
      <c r="B52" s="15"/>
      <c r="C52" s="15"/>
      <c r="D52" s="15"/>
      <c r="E52" s="15"/>
      <c r="F52" s="15"/>
      <c r="G52" s="15"/>
      <c r="H52" s="15"/>
      <c r="I52" s="15"/>
    </row>
    <row r="53" customFormat="false" ht="15" hidden="false" customHeight="false" outlineLevel="0" collapsed="false">
      <c r="A53" s="15"/>
      <c r="B53" s="15"/>
      <c r="C53" s="15"/>
      <c r="D53" s="15"/>
      <c r="E53" s="15"/>
      <c r="F53" s="15"/>
      <c r="G53" s="15"/>
      <c r="H53" s="15"/>
      <c r="I53" s="15"/>
    </row>
    <row r="54" customFormat="false" ht="15" hidden="false" customHeight="false" outlineLevel="0" collapsed="false">
      <c r="A54" s="15"/>
      <c r="B54" s="15"/>
      <c r="C54" s="15"/>
      <c r="D54" s="15"/>
      <c r="E54" s="15"/>
      <c r="F54" s="15"/>
      <c r="G54" s="15"/>
      <c r="H54" s="15"/>
      <c r="I54" s="15"/>
    </row>
    <row r="55" customFormat="false" ht="15" hidden="false" customHeight="false" outlineLevel="0" collapsed="false">
      <c r="A55" s="15"/>
      <c r="B55" s="15"/>
      <c r="C55" s="15"/>
      <c r="D55" s="15"/>
      <c r="E55" s="15"/>
      <c r="F55" s="15"/>
      <c r="G55" s="15"/>
      <c r="H55" s="15"/>
      <c r="I55" s="15"/>
    </row>
    <row r="56" customFormat="false" ht="15" hidden="false" customHeight="false" outlineLevel="0" collapsed="false">
      <c r="A56" s="15"/>
      <c r="B56" s="15"/>
      <c r="C56" s="15"/>
      <c r="D56" s="15"/>
      <c r="E56" s="15"/>
      <c r="F56" s="15"/>
      <c r="G56" s="15"/>
      <c r="H56" s="15"/>
      <c r="I56" s="15"/>
    </row>
    <row r="57" customFormat="false" ht="15" hidden="false" customHeight="false" outlineLevel="0" collapsed="false">
      <c r="A57" s="15"/>
      <c r="B57" s="15"/>
      <c r="C57" s="15"/>
      <c r="D57" s="15"/>
      <c r="E57" s="15"/>
      <c r="F57" s="15"/>
      <c r="G57" s="15"/>
      <c r="H57" s="15"/>
      <c r="I57" s="15"/>
    </row>
    <row r="58" customFormat="false" ht="15" hidden="false" customHeight="false" outlineLevel="0" collapsed="false">
      <c r="A58" s="15"/>
      <c r="B58" s="15"/>
      <c r="C58" s="15"/>
      <c r="D58" s="15"/>
      <c r="E58" s="15"/>
      <c r="F58" s="15"/>
      <c r="G58" s="15"/>
      <c r="H58" s="15"/>
      <c r="I58" s="15"/>
    </row>
    <row r="59" customFormat="false" ht="15" hidden="false" customHeight="false" outlineLevel="0" collapsed="false">
      <c r="A59" s="15"/>
      <c r="B59" s="15"/>
      <c r="C59" s="15"/>
      <c r="D59" s="15"/>
      <c r="E59" s="15"/>
      <c r="F59" s="15"/>
      <c r="G59" s="15"/>
      <c r="H59" s="15"/>
      <c r="I59" s="15"/>
    </row>
    <row r="60" customFormat="false" ht="15" hidden="false" customHeight="false" outlineLevel="0" collapsed="false">
      <c r="A60" s="15"/>
      <c r="B60" s="15"/>
      <c r="C60" s="15"/>
      <c r="D60" s="15"/>
      <c r="E60" s="15"/>
      <c r="F60" s="15"/>
      <c r="G60" s="15"/>
      <c r="H60" s="15"/>
      <c r="I60" s="15"/>
    </row>
    <row r="61" customFormat="false" ht="15" hidden="false" customHeight="false" outlineLevel="0" collapsed="false">
      <c r="A61" s="15"/>
      <c r="B61" s="15"/>
      <c r="C61" s="15"/>
      <c r="D61" s="15"/>
      <c r="E61" s="15"/>
      <c r="F61" s="15"/>
      <c r="G61" s="15"/>
      <c r="H61" s="15"/>
      <c r="I61" s="15"/>
    </row>
    <row r="62" customFormat="false" ht="15" hidden="false" customHeight="false" outlineLevel="0" collapsed="false">
      <c r="A62" s="15"/>
      <c r="B62" s="15"/>
      <c r="C62" s="15"/>
      <c r="D62" s="15"/>
      <c r="E62" s="15"/>
      <c r="F62" s="15"/>
      <c r="G62" s="15"/>
      <c r="H62" s="15"/>
      <c r="I62" s="15"/>
    </row>
    <row r="63" customFormat="false" ht="15" hidden="false" customHeight="false" outlineLevel="0" collapsed="false">
      <c r="A63" s="15"/>
      <c r="B63" s="15"/>
      <c r="C63" s="15"/>
      <c r="D63" s="15"/>
      <c r="E63" s="15"/>
      <c r="F63" s="15"/>
      <c r="G63" s="15"/>
      <c r="H63" s="15"/>
      <c r="I63" s="15"/>
    </row>
  </sheetData>
  <autoFilter ref="A4:I64"/>
  <mergeCells count="2">
    <mergeCell ref="A1:I1"/>
    <mergeCell ref="A2:I2"/>
  </mergeCells>
  <conditionalFormatting sqref="I5:I64">
    <cfRule type="expression" priority="2" aboveAverage="0" equalAverage="0" bottom="0" percent="0" rank="0" text="" dxfId="7">
      <formula>I5="Held"</formula>
    </cfRule>
    <cfRule type="expression" priority="3" aboveAverage="0" equalAverage="0" bottom="0" percent="0" rank="0" text="" dxfId="8">
      <formula>I5="Cancelled"</formula>
    </cfRule>
    <cfRule type="expression" priority="4" aboveAverage="0" equalAverage="0" bottom="0" percent="0" rank="0" text="" dxfId="9">
      <formula>I5="Scheduled"</formula>
    </cfRule>
  </conditionalFormatting>
  <dataValidations count="2">
    <dataValidation allowBlank="true" errorStyle="stop" operator="between" showDropDown="false" showErrorMessage="false" showInputMessage="false" sqref="D5:D64" type="list">
      <formula1>MeetingType</formula1>
      <formula2>0</formula2>
    </dataValidation>
    <dataValidation allowBlank="true" errorStyle="stop" operator="between" showDropDown="false" showErrorMessage="false" showInputMessage="false" sqref="I5:I64" type="list">
      <formula1>MeetingStatus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6"/>
    <col collapsed="false" customWidth="true" hidden="false" outlineLevel="0" max="5" min="4" style="0" width="13"/>
    <col collapsed="false" customWidth="true" hidden="false" outlineLevel="0" max="7" min="6" style="0" width="10"/>
    <col collapsed="false" customWidth="true" hidden="false" outlineLevel="0" max="9" min="8" style="0" width="12"/>
    <col collapsed="false" customWidth="true" hidden="false" outlineLevel="0" max="10" min="10" style="0" width="24"/>
  </cols>
  <sheetData>
    <row r="1" customFormat="false" ht="25.5" hidden="false" customHeight="true" outlineLevel="0" collapsed="false">
      <c r="A1" s="1" t="s">
        <v>103</v>
      </c>
      <c r="B1" s="1"/>
      <c r="C1" s="1"/>
      <c r="D1" s="1"/>
      <c r="E1" s="1"/>
      <c r="F1" s="1"/>
      <c r="G1" s="1"/>
      <c r="H1" s="1"/>
      <c r="I1" s="1"/>
      <c r="J1" s="1"/>
    </row>
    <row r="2" customFormat="false" ht="15.75" hidden="false" customHeight="true" outlineLevel="0" collapsed="false">
      <c r="A2" s="2" t="s">
        <v>104</v>
      </c>
      <c r="B2" s="2"/>
      <c r="C2" s="2"/>
      <c r="D2" s="2"/>
      <c r="E2" s="2"/>
      <c r="F2" s="2"/>
      <c r="G2" s="2"/>
      <c r="H2" s="2"/>
      <c r="I2" s="2"/>
      <c r="J2" s="2"/>
    </row>
    <row r="3" customFormat="false" ht="15" hidden="false" customHeight="false" outlineLevel="0" collapsed="false">
      <c r="J3" s="3" t="s">
        <v>105</v>
      </c>
    </row>
    <row r="4" customFormat="false" ht="15" hidden="false" customHeight="false" outlineLevel="0" collapsed="false">
      <c r="J4" s="4" t="s">
        <v>106</v>
      </c>
      <c r="K4" s="3" t="n">
        <f aca="false">COUNTIFS(G8:G67,"&lt;&gt;Closed",G8:G67,"&lt;&gt;Cancelled",G8:G67,"&lt;&gt;")</f>
        <v>4</v>
      </c>
    </row>
    <row r="5" customFormat="false" ht="15" hidden="false" customHeight="false" outlineLevel="0" collapsed="false">
      <c r="J5" s="4" t="s">
        <v>107</v>
      </c>
      <c r="K5" s="3" t="n">
        <f aca="false">COUNTIF(I8:I67,"&gt;0")</f>
        <v>2</v>
      </c>
    </row>
    <row r="6" customFormat="false" ht="15" hidden="false" customHeight="false" outlineLevel="0" collapsed="false">
      <c r="J6" s="4" t="s">
        <v>108</v>
      </c>
      <c r="K6" s="3" t="n">
        <f aca="false">COUNTIF(G8:G67,"Closed")</f>
        <v>1</v>
      </c>
    </row>
    <row r="7" customFormat="false" ht="23.85" hidden="false" customHeight="false" outlineLevel="0" collapsed="false">
      <c r="A7" s="10" t="s">
        <v>109</v>
      </c>
      <c r="B7" s="10" t="s">
        <v>110</v>
      </c>
      <c r="C7" s="10" t="s">
        <v>36</v>
      </c>
      <c r="D7" s="10" t="s">
        <v>111</v>
      </c>
      <c r="E7" s="10" t="s">
        <v>112</v>
      </c>
      <c r="F7" s="10" t="s">
        <v>113</v>
      </c>
      <c r="G7" s="10" t="s">
        <v>88</v>
      </c>
      <c r="H7" s="10" t="s">
        <v>114</v>
      </c>
      <c r="I7" s="10" t="s">
        <v>115</v>
      </c>
      <c r="J7" s="10" t="s">
        <v>40</v>
      </c>
    </row>
    <row r="8" customFormat="false" ht="20.85" hidden="false" customHeight="false" outlineLevel="0" collapsed="false">
      <c r="A8" s="13" t="s">
        <v>116</v>
      </c>
      <c r="B8" s="13" t="s">
        <v>117</v>
      </c>
      <c r="C8" s="13" t="s">
        <v>118</v>
      </c>
      <c r="D8" s="14" t="n">
        <f aca="true">TODAY()-10</f>
        <v>46211</v>
      </c>
      <c r="E8" s="14" t="n">
        <f aca="true">TODAY()-2</f>
        <v>46219</v>
      </c>
      <c r="F8" s="13" t="s">
        <v>119</v>
      </c>
      <c r="G8" s="13" t="s">
        <v>120</v>
      </c>
      <c r="H8" s="13" t="s">
        <v>121</v>
      </c>
      <c r="I8" s="16" t="n">
        <f aca="true">IF(G8="Closed",0,IF(G8="Cancelled",0,IF(TODAY()&gt;E8,TODAY()-E8,0)))</f>
        <v>2</v>
      </c>
      <c r="J8" s="13" t="s">
        <v>122</v>
      </c>
    </row>
    <row r="9" customFormat="false" ht="20.85" hidden="false" customHeight="false" outlineLevel="0" collapsed="false">
      <c r="A9" s="13" t="s">
        <v>123</v>
      </c>
      <c r="B9" s="13" t="s">
        <v>124</v>
      </c>
      <c r="C9" s="13" t="s">
        <v>125</v>
      </c>
      <c r="D9" s="14" t="n">
        <f aca="true">TODAY()-8</f>
        <v>46213</v>
      </c>
      <c r="E9" s="14" t="n">
        <f aca="true">TODAY()-1</f>
        <v>46220</v>
      </c>
      <c r="F9" s="13" t="s">
        <v>119</v>
      </c>
      <c r="G9" s="13" t="s">
        <v>126</v>
      </c>
      <c r="H9" s="13" t="s">
        <v>127</v>
      </c>
      <c r="I9" s="16" t="n">
        <f aca="true">IF(G9="Closed",0,IF(G9="Cancelled",0,IF(TODAY()&gt;E9,TODAY()-E9,0)))</f>
        <v>1</v>
      </c>
      <c r="J9" s="13" t="s">
        <v>128</v>
      </c>
    </row>
    <row r="10" customFormat="false" ht="15" hidden="false" customHeight="false" outlineLevel="0" collapsed="false">
      <c r="A10" s="13" t="s">
        <v>129</v>
      </c>
      <c r="B10" s="13" t="s">
        <v>130</v>
      </c>
      <c r="C10" s="13" t="s">
        <v>131</v>
      </c>
      <c r="D10" s="14" t="n">
        <f aca="true">TODAY()-5</f>
        <v>46216</v>
      </c>
      <c r="E10" s="14" t="n">
        <f aca="true">TODAY()+3</f>
        <v>46224</v>
      </c>
      <c r="F10" s="13" t="s">
        <v>132</v>
      </c>
      <c r="G10" s="13" t="s">
        <v>120</v>
      </c>
      <c r="H10" s="13"/>
      <c r="I10" s="16" t="n">
        <f aca="true">IF(G10="Closed",0,IF(G10="Cancelled",0,IF(TODAY()&gt;E10,TODAY()-E10,0)))</f>
        <v>0</v>
      </c>
      <c r="J10" s="13"/>
    </row>
    <row r="11" customFormat="false" ht="20.85" hidden="false" customHeight="false" outlineLevel="0" collapsed="false">
      <c r="A11" s="13" t="s">
        <v>133</v>
      </c>
      <c r="B11" s="13" t="s">
        <v>134</v>
      </c>
      <c r="C11" s="13" t="s">
        <v>76</v>
      </c>
      <c r="D11" s="14" t="n">
        <f aca="true">TODAY()-14</f>
        <v>46207</v>
      </c>
      <c r="E11" s="14" t="n">
        <f aca="true">TODAY()-7</f>
        <v>46214</v>
      </c>
      <c r="F11" s="13" t="s">
        <v>132</v>
      </c>
      <c r="G11" s="13" t="s">
        <v>135</v>
      </c>
      <c r="H11" s="13" t="s">
        <v>136</v>
      </c>
      <c r="I11" s="16" t="n">
        <f aca="true">IF(G11="Closed",0,IF(G11="Cancelled",0,IF(TODAY()&gt;E11,TODAY()-E11,0)))</f>
        <v>0</v>
      </c>
      <c r="J11" s="13" t="s">
        <v>137</v>
      </c>
    </row>
    <row r="12" customFormat="false" ht="20.85" hidden="false" customHeight="false" outlineLevel="0" collapsed="false">
      <c r="A12" s="13" t="s">
        <v>138</v>
      </c>
      <c r="B12" s="13" t="s">
        <v>139</v>
      </c>
      <c r="C12" s="13" t="s">
        <v>140</v>
      </c>
      <c r="D12" s="14" t="n">
        <f aca="true">TODAY()-3</f>
        <v>46218</v>
      </c>
      <c r="E12" s="14" t="n">
        <f aca="true">TODAY()+6</f>
        <v>46227</v>
      </c>
      <c r="F12" s="13" t="s">
        <v>132</v>
      </c>
      <c r="G12" s="13" t="s">
        <v>120</v>
      </c>
      <c r="H12" s="13"/>
      <c r="I12" s="16" t="n">
        <f aca="true">IF(G12="Closed",0,IF(G12="Cancelled",0,IF(TODAY()&gt;E12,TODAY()-E12,0)))</f>
        <v>0</v>
      </c>
      <c r="J12" s="13"/>
    </row>
    <row r="13" customFormat="false" ht="15" hidden="false" customHeight="false" outlineLevel="0" collapsed="false">
      <c r="A13" s="15"/>
      <c r="B13" s="15"/>
      <c r="C13" s="15"/>
      <c r="D13" s="17"/>
      <c r="E13" s="17"/>
      <c r="F13" s="15"/>
      <c r="G13" s="15"/>
      <c r="H13" s="15"/>
      <c r="I13" s="15" t="n">
        <f aca="true">IF(G13="",0,IF(G13="Closed",0,IF(G13="Cancelled",0,IF(TODAY()&gt;E13,TODAY()-E13,0))))</f>
        <v>0</v>
      </c>
      <c r="J13" s="15"/>
    </row>
    <row r="14" customFormat="false" ht="15" hidden="false" customHeight="false" outlineLevel="0" collapsed="false">
      <c r="A14" s="15"/>
      <c r="B14" s="15"/>
      <c r="C14" s="15"/>
      <c r="D14" s="17"/>
      <c r="E14" s="17"/>
      <c r="F14" s="15"/>
      <c r="G14" s="15"/>
      <c r="H14" s="15"/>
      <c r="I14" s="15" t="n">
        <f aca="true">IF(G14="",0,IF(G14="Closed",0,IF(G14="Cancelled",0,IF(TODAY()&gt;E14,TODAY()-E14,0))))</f>
        <v>0</v>
      </c>
      <c r="J14" s="15"/>
    </row>
    <row r="15" customFormat="false" ht="15" hidden="false" customHeight="false" outlineLevel="0" collapsed="false">
      <c r="A15" s="15"/>
      <c r="B15" s="15"/>
      <c r="C15" s="15"/>
      <c r="D15" s="17"/>
      <c r="E15" s="17"/>
      <c r="F15" s="15"/>
      <c r="G15" s="15"/>
      <c r="H15" s="15"/>
      <c r="I15" s="15" t="n">
        <f aca="true">IF(G15="",0,IF(G15="Closed",0,IF(G15="Cancelled",0,IF(TODAY()&gt;E15,TODAY()-E15,0))))</f>
        <v>0</v>
      </c>
      <c r="J15" s="15"/>
    </row>
    <row r="16" customFormat="false" ht="15" hidden="false" customHeight="false" outlineLevel="0" collapsed="false">
      <c r="A16" s="15"/>
      <c r="B16" s="15"/>
      <c r="C16" s="15"/>
      <c r="D16" s="17"/>
      <c r="E16" s="17"/>
      <c r="F16" s="15"/>
      <c r="G16" s="15"/>
      <c r="H16" s="15"/>
      <c r="I16" s="15" t="n">
        <f aca="true">IF(G16="",0,IF(G16="Closed",0,IF(G16="Cancelled",0,IF(TODAY()&gt;E16,TODAY()-E16,0))))</f>
        <v>0</v>
      </c>
      <c r="J16" s="15"/>
    </row>
    <row r="17" customFormat="false" ht="15" hidden="false" customHeight="false" outlineLevel="0" collapsed="false">
      <c r="A17" s="15"/>
      <c r="B17" s="15"/>
      <c r="C17" s="15"/>
      <c r="D17" s="17"/>
      <c r="E17" s="17"/>
      <c r="F17" s="15"/>
      <c r="G17" s="15"/>
      <c r="H17" s="15"/>
      <c r="I17" s="15" t="n">
        <f aca="true">IF(G17="",0,IF(G17="Closed",0,IF(G17="Cancelled",0,IF(TODAY()&gt;E17,TODAY()-E17,0))))</f>
        <v>0</v>
      </c>
      <c r="J17" s="15"/>
    </row>
    <row r="18" customFormat="false" ht="15" hidden="false" customHeight="false" outlineLevel="0" collapsed="false">
      <c r="A18" s="15"/>
      <c r="B18" s="15"/>
      <c r="C18" s="15"/>
      <c r="D18" s="17"/>
      <c r="E18" s="17"/>
      <c r="F18" s="15"/>
      <c r="G18" s="15"/>
      <c r="H18" s="15"/>
      <c r="I18" s="15" t="n">
        <f aca="true">IF(G18="",0,IF(G18="Closed",0,IF(G18="Cancelled",0,IF(TODAY()&gt;E18,TODAY()-E18,0))))</f>
        <v>0</v>
      </c>
      <c r="J18" s="15"/>
    </row>
    <row r="19" customFormat="false" ht="15" hidden="false" customHeight="false" outlineLevel="0" collapsed="false">
      <c r="A19" s="15"/>
      <c r="B19" s="15"/>
      <c r="C19" s="15"/>
      <c r="D19" s="17"/>
      <c r="E19" s="17"/>
      <c r="F19" s="15"/>
      <c r="G19" s="15"/>
      <c r="H19" s="15"/>
      <c r="I19" s="15" t="n">
        <f aca="true">IF(G19="",0,IF(G19="Closed",0,IF(G19="Cancelled",0,IF(TODAY()&gt;E19,TODAY()-E19,0))))</f>
        <v>0</v>
      </c>
      <c r="J19" s="15"/>
    </row>
    <row r="20" customFormat="false" ht="15" hidden="false" customHeight="false" outlineLevel="0" collapsed="false">
      <c r="A20" s="15"/>
      <c r="B20" s="15"/>
      <c r="C20" s="15"/>
      <c r="D20" s="17"/>
      <c r="E20" s="17"/>
      <c r="F20" s="15"/>
      <c r="G20" s="15"/>
      <c r="H20" s="15"/>
      <c r="I20" s="15" t="n">
        <f aca="true">IF(G20="",0,IF(G20="Closed",0,IF(G20="Cancelled",0,IF(TODAY()&gt;E20,TODAY()-E20,0))))</f>
        <v>0</v>
      </c>
      <c r="J20" s="15"/>
    </row>
    <row r="21" customFormat="false" ht="15" hidden="false" customHeight="false" outlineLevel="0" collapsed="false">
      <c r="A21" s="15"/>
      <c r="B21" s="15"/>
      <c r="C21" s="15"/>
      <c r="D21" s="17"/>
      <c r="E21" s="17"/>
      <c r="F21" s="15"/>
      <c r="G21" s="15"/>
      <c r="H21" s="15"/>
      <c r="I21" s="15" t="n">
        <f aca="true">IF(G21="",0,IF(G21="Closed",0,IF(G21="Cancelled",0,IF(TODAY()&gt;E21,TODAY()-E21,0))))</f>
        <v>0</v>
      </c>
      <c r="J21" s="15"/>
    </row>
    <row r="22" customFormat="false" ht="15" hidden="false" customHeight="false" outlineLevel="0" collapsed="false">
      <c r="A22" s="15"/>
      <c r="B22" s="15"/>
      <c r="C22" s="15"/>
      <c r="D22" s="17"/>
      <c r="E22" s="17"/>
      <c r="F22" s="15"/>
      <c r="G22" s="15"/>
      <c r="H22" s="15"/>
      <c r="I22" s="15" t="n">
        <f aca="true">IF(G22="",0,IF(G22="Closed",0,IF(G22="Cancelled",0,IF(TODAY()&gt;E22,TODAY()-E22,0))))</f>
        <v>0</v>
      </c>
      <c r="J22" s="15"/>
    </row>
    <row r="23" customFormat="false" ht="15" hidden="false" customHeight="false" outlineLevel="0" collapsed="false">
      <c r="A23" s="15"/>
      <c r="B23" s="15"/>
      <c r="C23" s="15"/>
      <c r="D23" s="17"/>
      <c r="E23" s="17"/>
      <c r="F23" s="15"/>
      <c r="G23" s="15"/>
      <c r="H23" s="15"/>
      <c r="I23" s="15" t="n">
        <f aca="true">IF(G23="",0,IF(G23="Closed",0,IF(G23="Cancelled",0,IF(TODAY()&gt;E23,TODAY()-E23,0))))</f>
        <v>0</v>
      </c>
      <c r="J23" s="15"/>
    </row>
    <row r="24" customFormat="false" ht="15" hidden="false" customHeight="false" outlineLevel="0" collapsed="false">
      <c r="A24" s="15"/>
      <c r="B24" s="15"/>
      <c r="C24" s="15"/>
      <c r="D24" s="17"/>
      <c r="E24" s="17"/>
      <c r="F24" s="15"/>
      <c r="G24" s="15"/>
      <c r="H24" s="15"/>
      <c r="I24" s="15" t="n">
        <f aca="true">IF(G24="",0,IF(G24="Closed",0,IF(G24="Cancelled",0,IF(TODAY()&gt;E24,TODAY()-E24,0))))</f>
        <v>0</v>
      </c>
      <c r="J24" s="15"/>
    </row>
    <row r="25" customFormat="false" ht="15" hidden="false" customHeight="false" outlineLevel="0" collapsed="false">
      <c r="A25" s="15"/>
      <c r="B25" s="15"/>
      <c r="C25" s="15"/>
      <c r="D25" s="17"/>
      <c r="E25" s="17"/>
      <c r="F25" s="15"/>
      <c r="G25" s="15"/>
      <c r="H25" s="15"/>
      <c r="I25" s="15" t="n">
        <f aca="true">IF(G25="",0,IF(G25="Closed",0,IF(G25="Cancelled",0,IF(TODAY()&gt;E25,TODAY()-E25,0))))</f>
        <v>0</v>
      </c>
      <c r="J25" s="15"/>
    </row>
    <row r="26" customFormat="false" ht="15" hidden="false" customHeight="false" outlineLevel="0" collapsed="false">
      <c r="A26" s="15"/>
      <c r="B26" s="15"/>
      <c r="C26" s="15"/>
      <c r="D26" s="17"/>
      <c r="E26" s="17"/>
      <c r="F26" s="15"/>
      <c r="G26" s="15"/>
      <c r="H26" s="15"/>
      <c r="I26" s="15" t="n">
        <f aca="true">IF(G26="",0,IF(G26="Closed",0,IF(G26="Cancelled",0,IF(TODAY()&gt;E26,TODAY()-E26,0))))</f>
        <v>0</v>
      </c>
      <c r="J26" s="15"/>
    </row>
    <row r="27" customFormat="false" ht="15" hidden="false" customHeight="false" outlineLevel="0" collapsed="false">
      <c r="A27" s="15"/>
      <c r="B27" s="15"/>
      <c r="C27" s="15"/>
      <c r="D27" s="17"/>
      <c r="E27" s="17"/>
      <c r="F27" s="15"/>
      <c r="G27" s="15"/>
      <c r="H27" s="15"/>
      <c r="I27" s="15" t="n">
        <f aca="true">IF(G27="",0,IF(G27="Closed",0,IF(G27="Cancelled",0,IF(TODAY()&gt;E27,TODAY()-E27,0))))</f>
        <v>0</v>
      </c>
      <c r="J27" s="15"/>
    </row>
    <row r="28" customFormat="false" ht="15" hidden="false" customHeight="false" outlineLevel="0" collapsed="false">
      <c r="A28" s="15"/>
      <c r="B28" s="15"/>
      <c r="C28" s="15"/>
      <c r="D28" s="17"/>
      <c r="E28" s="17"/>
      <c r="F28" s="15"/>
      <c r="G28" s="15"/>
      <c r="H28" s="15"/>
      <c r="I28" s="15" t="n">
        <f aca="true">IF(G28="",0,IF(G28="Closed",0,IF(G28="Cancelled",0,IF(TODAY()&gt;E28,TODAY()-E28,0))))</f>
        <v>0</v>
      </c>
      <c r="J28" s="15"/>
    </row>
    <row r="29" customFormat="false" ht="15" hidden="false" customHeight="false" outlineLevel="0" collapsed="false">
      <c r="A29" s="15"/>
      <c r="B29" s="15"/>
      <c r="C29" s="15"/>
      <c r="D29" s="17"/>
      <c r="E29" s="17"/>
      <c r="F29" s="15"/>
      <c r="G29" s="15"/>
      <c r="H29" s="15"/>
      <c r="I29" s="15" t="n">
        <f aca="true">IF(G29="",0,IF(G29="Closed",0,IF(G29="Cancelled",0,IF(TODAY()&gt;E29,TODAY()-E29,0))))</f>
        <v>0</v>
      </c>
      <c r="J29" s="15"/>
    </row>
    <row r="30" customFormat="false" ht="15" hidden="false" customHeight="false" outlineLevel="0" collapsed="false">
      <c r="A30" s="15"/>
      <c r="B30" s="15"/>
      <c r="C30" s="15"/>
      <c r="D30" s="17"/>
      <c r="E30" s="17"/>
      <c r="F30" s="15"/>
      <c r="G30" s="15"/>
      <c r="H30" s="15"/>
      <c r="I30" s="15" t="n">
        <f aca="true">IF(G30="",0,IF(G30="Closed",0,IF(G30="Cancelled",0,IF(TODAY()&gt;E30,TODAY()-E30,0))))</f>
        <v>0</v>
      </c>
      <c r="J30" s="15"/>
    </row>
    <row r="31" customFormat="false" ht="15" hidden="false" customHeight="false" outlineLevel="0" collapsed="false">
      <c r="A31" s="15"/>
      <c r="B31" s="15"/>
      <c r="C31" s="15"/>
      <c r="D31" s="17"/>
      <c r="E31" s="17"/>
      <c r="F31" s="15"/>
      <c r="G31" s="15"/>
      <c r="H31" s="15"/>
      <c r="I31" s="15" t="n">
        <f aca="true">IF(G31="",0,IF(G31="Closed",0,IF(G31="Cancelled",0,IF(TODAY()&gt;E31,TODAY()-E31,0))))</f>
        <v>0</v>
      </c>
      <c r="J31" s="15"/>
    </row>
    <row r="32" customFormat="false" ht="15" hidden="false" customHeight="false" outlineLevel="0" collapsed="false">
      <c r="A32" s="15"/>
      <c r="B32" s="15"/>
      <c r="C32" s="15"/>
      <c r="D32" s="17"/>
      <c r="E32" s="17"/>
      <c r="F32" s="15"/>
      <c r="G32" s="15"/>
      <c r="H32" s="15"/>
      <c r="I32" s="15" t="n">
        <f aca="true">IF(G32="",0,IF(G32="Closed",0,IF(G32="Cancelled",0,IF(TODAY()&gt;E32,TODAY()-E32,0))))</f>
        <v>0</v>
      </c>
      <c r="J32" s="15"/>
    </row>
    <row r="33" customFormat="false" ht="15" hidden="false" customHeight="false" outlineLevel="0" collapsed="false">
      <c r="A33" s="15"/>
      <c r="B33" s="15"/>
      <c r="C33" s="15"/>
      <c r="D33" s="17"/>
      <c r="E33" s="17"/>
      <c r="F33" s="15"/>
      <c r="G33" s="15"/>
      <c r="H33" s="15"/>
      <c r="I33" s="15" t="n">
        <f aca="true">IF(G33="",0,IF(G33="Closed",0,IF(G33="Cancelled",0,IF(TODAY()&gt;E33,TODAY()-E33,0))))</f>
        <v>0</v>
      </c>
      <c r="J33" s="15"/>
    </row>
    <row r="34" customFormat="false" ht="15" hidden="false" customHeight="false" outlineLevel="0" collapsed="false">
      <c r="A34" s="15"/>
      <c r="B34" s="15"/>
      <c r="C34" s="15"/>
      <c r="D34" s="17"/>
      <c r="E34" s="17"/>
      <c r="F34" s="15"/>
      <c r="G34" s="15"/>
      <c r="H34" s="15"/>
      <c r="I34" s="15" t="n">
        <f aca="true">IF(G34="",0,IF(G34="Closed",0,IF(G34="Cancelled",0,IF(TODAY()&gt;E34,TODAY()-E34,0))))</f>
        <v>0</v>
      </c>
      <c r="J34" s="15"/>
    </row>
    <row r="35" customFormat="false" ht="15" hidden="false" customHeight="false" outlineLevel="0" collapsed="false">
      <c r="A35" s="15"/>
      <c r="B35" s="15"/>
      <c r="C35" s="15"/>
      <c r="D35" s="17"/>
      <c r="E35" s="17"/>
      <c r="F35" s="15"/>
      <c r="G35" s="15"/>
      <c r="H35" s="15"/>
      <c r="I35" s="15" t="n">
        <f aca="true">IF(G35="",0,IF(G35="Closed",0,IF(G35="Cancelled",0,IF(TODAY()&gt;E35,TODAY()-E35,0))))</f>
        <v>0</v>
      </c>
      <c r="J35" s="15"/>
    </row>
    <row r="36" customFormat="false" ht="15" hidden="false" customHeight="false" outlineLevel="0" collapsed="false">
      <c r="A36" s="15"/>
      <c r="B36" s="15"/>
      <c r="C36" s="15"/>
      <c r="D36" s="17"/>
      <c r="E36" s="17"/>
      <c r="F36" s="15"/>
      <c r="G36" s="15"/>
      <c r="H36" s="15"/>
      <c r="I36" s="15" t="n">
        <f aca="true">IF(G36="",0,IF(G36="Closed",0,IF(G36="Cancelled",0,IF(TODAY()&gt;E36,TODAY()-E36,0))))</f>
        <v>0</v>
      </c>
      <c r="J36" s="15"/>
    </row>
    <row r="37" customFormat="false" ht="15" hidden="false" customHeight="false" outlineLevel="0" collapsed="false">
      <c r="A37" s="15"/>
      <c r="B37" s="15"/>
      <c r="C37" s="15"/>
      <c r="D37" s="17"/>
      <c r="E37" s="17"/>
      <c r="F37" s="15"/>
      <c r="G37" s="15"/>
      <c r="H37" s="15"/>
      <c r="I37" s="15" t="n">
        <f aca="true">IF(G37="",0,IF(G37="Closed",0,IF(G37="Cancelled",0,IF(TODAY()&gt;E37,TODAY()-E37,0))))</f>
        <v>0</v>
      </c>
      <c r="J37" s="15"/>
    </row>
    <row r="38" customFormat="false" ht="15" hidden="false" customHeight="false" outlineLevel="0" collapsed="false">
      <c r="A38" s="15"/>
      <c r="B38" s="15"/>
      <c r="C38" s="15"/>
      <c r="D38" s="17"/>
      <c r="E38" s="17"/>
      <c r="F38" s="15"/>
      <c r="G38" s="15"/>
      <c r="H38" s="15"/>
      <c r="I38" s="15" t="n">
        <f aca="true">IF(G38="",0,IF(G38="Closed",0,IF(G38="Cancelled",0,IF(TODAY()&gt;E38,TODAY()-E38,0))))</f>
        <v>0</v>
      </c>
      <c r="J38" s="15"/>
    </row>
    <row r="39" customFormat="false" ht="15" hidden="false" customHeight="false" outlineLevel="0" collapsed="false">
      <c r="A39" s="15"/>
      <c r="B39" s="15"/>
      <c r="C39" s="15"/>
      <c r="D39" s="17"/>
      <c r="E39" s="17"/>
      <c r="F39" s="15"/>
      <c r="G39" s="15"/>
      <c r="H39" s="15"/>
      <c r="I39" s="15" t="n">
        <f aca="true">IF(G39="",0,IF(G39="Closed",0,IF(G39="Cancelled",0,IF(TODAY()&gt;E39,TODAY()-E39,0))))</f>
        <v>0</v>
      </c>
      <c r="J39" s="15"/>
    </row>
    <row r="40" customFormat="false" ht="15" hidden="false" customHeight="false" outlineLevel="0" collapsed="false">
      <c r="A40" s="15"/>
      <c r="B40" s="15"/>
      <c r="C40" s="15"/>
      <c r="D40" s="17"/>
      <c r="E40" s="17"/>
      <c r="F40" s="15"/>
      <c r="G40" s="15"/>
      <c r="H40" s="15"/>
      <c r="I40" s="15" t="n">
        <f aca="true">IF(G40="",0,IF(G40="Closed",0,IF(G40="Cancelled",0,IF(TODAY()&gt;E40,TODAY()-E40,0))))</f>
        <v>0</v>
      </c>
      <c r="J40" s="15"/>
    </row>
    <row r="41" customFormat="false" ht="15" hidden="false" customHeight="false" outlineLevel="0" collapsed="false">
      <c r="A41" s="15"/>
      <c r="B41" s="15"/>
      <c r="C41" s="15"/>
      <c r="D41" s="17"/>
      <c r="E41" s="17"/>
      <c r="F41" s="15"/>
      <c r="G41" s="15"/>
      <c r="H41" s="15"/>
      <c r="I41" s="15" t="n">
        <f aca="true">IF(G41="",0,IF(G41="Closed",0,IF(G41="Cancelled",0,IF(TODAY()&gt;E41,TODAY()-E41,0))))</f>
        <v>0</v>
      </c>
      <c r="J41" s="15"/>
    </row>
    <row r="42" customFormat="false" ht="15" hidden="false" customHeight="false" outlineLevel="0" collapsed="false">
      <c r="A42" s="15"/>
      <c r="B42" s="15"/>
      <c r="C42" s="15"/>
      <c r="D42" s="17"/>
      <c r="E42" s="17"/>
      <c r="F42" s="15"/>
      <c r="G42" s="15"/>
      <c r="H42" s="15"/>
      <c r="I42" s="15" t="n">
        <f aca="true">IF(G42="",0,IF(G42="Closed",0,IF(G42="Cancelled",0,IF(TODAY()&gt;E42,TODAY()-E42,0))))</f>
        <v>0</v>
      </c>
      <c r="J42" s="15"/>
    </row>
    <row r="43" customFormat="false" ht="15" hidden="false" customHeight="false" outlineLevel="0" collapsed="false">
      <c r="A43" s="15"/>
      <c r="B43" s="15"/>
      <c r="C43" s="15"/>
      <c r="D43" s="17"/>
      <c r="E43" s="17"/>
      <c r="F43" s="15"/>
      <c r="G43" s="15"/>
      <c r="H43" s="15"/>
      <c r="I43" s="15" t="n">
        <f aca="true">IF(G43="",0,IF(G43="Closed",0,IF(G43="Cancelled",0,IF(TODAY()&gt;E43,TODAY()-E43,0))))</f>
        <v>0</v>
      </c>
      <c r="J43" s="15"/>
    </row>
    <row r="44" customFormat="false" ht="15" hidden="false" customHeight="false" outlineLevel="0" collapsed="false">
      <c r="A44" s="15"/>
      <c r="B44" s="15"/>
      <c r="C44" s="15"/>
      <c r="D44" s="17"/>
      <c r="E44" s="17"/>
      <c r="F44" s="15"/>
      <c r="G44" s="15"/>
      <c r="H44" s="15"/>
      <c r="I44" s="15" t="n">
        <f aca="true">IF(G44="",0,IF(G44="Closed",0,IF(G44="Cancelled",0,IF(TODAY()&gt;E44,TODAY()-E44,0))))</f>
        <v>0</v>
      </c>
      <c r="J44" s="15"/>
    </row>
    <row r="45" customFormat="false" ht="15" hidden="false" customHeight="false" outlineLevel="0" collapsed="false">
      <c r="A45" s="15"/>
      <c r="B45" s="15"/>
      <c r="C45" s="15"/>
      <c r="D45" s="17"/>
      <c r="E45" s="17"/>
      <c r="F45" s="15"/>
      <c r="G45" s="15"/>
      <c r="H45" s="15"/>
      <c r="I45" s="15" t="n">
        <f aca="true">IF(G45="",0,IF(G45="Closed",0,IF(G45="Cancelled",0,IF(TODAY()&gt;E45,TODAY()-E45,0))))</f>
        <v>0</v>
      </c>
      <c r="J45" s="15"/>
    </row>
    <row r="46" customFormat="false" ht="15" hidden="false" customHeight="false" outlineLevel="0" collapsed="false">
      <c r="A46" s="15"/>
      <c r="B46" s="15"/>
      <c r="C46" s="15"/>
      <c r="D46" s="17"/>
      <c r="E46" s="17"/>
      <c r="F46" s="15"/>
      <c r="G46" s="15"/>
      <c r="H46" s="15"/>
      <c r="I46" s="15" t="n">
        <f aca="true">IF(G46="",0,IF(G46="Closed",0,IF(G46="Cancelled",0,IF(TODAY()&gt;E46,TODAY()-E46,0))))</f>
        <v>0</v>
      </c>
      <c r="J46" s="15"/>
    </row>
    <row r="47" customFormat="false" ht="15" hidden="false" customHeight="false" outlineLevel="0" collapsed="false">
      <c r="A47" s="15"/>
      <c r="B47" s="15"/>
      <c r="C47" s="15"/>
      <c r="D47" s="17"/>
      <c r="E47" s="17"/>
      <c r="F47" s="15"/>
      <c r="G47" s="15"/>
      <c r="H47" s="15"/>
      <c r="I47" s="15" t="n">
        <f aca="true">IF(G47="",0,IF(G47="Closed",0,IF(G47="Cancelled",0,IF(TODAY()&gt;E47,TODAY()-E47,0))))</f>
        <v>0</v>
      </c>
      <c r="J47" s="15"/>
    </row>
    <row r="48" customFormat="false" ht="15" hidden="false" customHeight="false" outlineLevel="0" collapsed="false">
      <c r="A48" s="15"/>
      <c r="B48" s="15"/>
      <c r="C48" s="15"/>
      <c r="D48" s="17"/>
      <c r="E48" s="17"/>
      <c r="F48" s="15"/>
      <c r="G48" s="15"/>
      <c r="H48" s="15"/>
      <c r="I48" s="15" t="n">
        <f aca="true">IF(G48="",0,IF(G48="Closed",0,IF(G48="Cancelled",0,IF(TODAY()&gt;E48,TODAY()-E48,0))))</f>
        <v>0</v>
      </c>
      <c r="J48" s="15"/>
    </row>
    <row r="49" customFormat="false" ht="15" hidden="false" customHeight="false" outlineLevel="0" collapsed="false">
      <c r="A49" s="15"/>
      <c r="B49" s="15"/>
      <c r="C49" s="15"/>
      <c r="D49" s="17"/>
      <c r="E49" s="17"/>
      <c r="F49" s="15"/>
      <c r="G49" s="15"/>
      <c r="H49" s="15"/>
      <c r="I49" s="15" t="n">
        <f aca="true">IF(G49="",0,IF(G49="Closed",0,IF(G49="Cancelled",0,IF(TODAY()&gt;E49,TODAY()-E49,0))))</f>
        <v>0</v>
      </c>
      <c r="J49" s="15"/>
    </row>
    <row r="50" customFormat="false" ht="15" hidden="false" customHeight="false" outlineLevel="0" collapsed="false">
      <c r="A50" s="15"/>
      <c r="B50" s="15"/>
      <c r="C50" s="15"/>
      <c r="D50" s="17"/>
      <c r="E50" s="17"/>
      <c r="F50" s="15"/>
      <c r="G50" s="15"/>
      <c r="H50" s="15"/>
      <c r="I50" s="15" t="n">
        <f aca="true">IF(G50="",0,IF(G50="Closed",0,IF(G50="Cancelled",0,IF(TODAY()&gt;E50,TODAY()-E50,0))))</f>
        <v>0</v>
      </c>
      <c r="J50" s="15"/>
    </row>
    <row r="51" customFormat="false" ht="15" hidden="false" customHeight="false" outlineLevel="0" collapsed="false">
      <c r="A51" s="15"/>
      <c r="B51" s="15"/>
      <c r="C51" s="15"/>
      <c r="D51" s="17"/>
      <c r="E51" s="17"/>
      <c r="F51" s="15"/>
      <c r="G51" s="15"/>
      <c r="H51" s="15"/>
      <c r="I51" s="15" t="n">
        <f aca="true">IF(G51="",0,IF(G51="Closed",0,IF(G51="Cancelled",0,IF(TODAY()&gt;E51,TODAY()-E51,0))))</f>
        <v>0</v>
      </c>
      <c r="J51" s="15"/>
    </row>
    <row r="52" customFormat="false" ht="15" hidden="false" customHeight="false" outlineLevel="0" collapsed="false">
      <c r="A52" s="15"/>
      <c r="B52" s="15"/>
      <c r="C52" s="15"/>
      <c r="D52" s="17"/>
      <c r="E52" s="17"/>
      <c r="F52" s="15"/>
      <c r="G52" s="15"/>
      <c r="H52" s="15"/>
      <c r="I52" s="15" t="n">
        <f aca="true">IF(G52="",0,IF(G52="Closed",0,IF(G52="Cancelled",0,IF(TODAY()&gt;E52,TODAY()-E52,0))))</f>
        <v>0</v>
      </c>
      <c r="J52" s="15"/>
    </row>
    <row r="53" customFormat="false" ht="15" hidden="false" customHeight="false" outlineLevel="0" collapsed="false">
      <c r="A53" s="15"/>
      <c r="B53" s="15"/>
      <c r="C53" s="15"/>
      <c r="D53" s="17"/>
      <c r="E53" s="17"/>
      <c r="F53" s="15"/>
      <c r="G53" s="15"/>
      <c r="H53" s="15"/>
      <c r="I53" s="15" t="n">
        <f aca="true">IF(G53="",0,IF(G53="Closed",0,IF(G53="Cancelled",0,IF(TODAY()&gt;E53,TODAY()-E53,0))))</f>
        <v>0</v>
      </c>
      <c r="J53" s="15"/>
    </row>
    <row r="54" customFormat="false" ht="15" hidden="false" customHeight="false" outlineLevel="0" collapsed="false">
      <c r="A54" s="15"/>
      <c r="B54" s="15"/>
      <c r="C54" s="15"/>
      <c r="D54" s="17"/>
      <c r="E54" s="17"/>
      <c r="F54" s="15"/>
      <c r="G54" s="15"/>
      <c r="H54" s="15"/>
      <c r="I54" s="15" t="n">
        <f aca="true">IF(G54="",0,IF(G54="Closed",0,IF(G54="Cancelled",0,IF(TODAY()&gt;E54,TODAY()-E54,0))))</f>
        <v>0</v>
      </c>
      <c r="J54" s="15"/>
    </row>
    <row r="55" customFormat="false" ht="15" hidden="false" customHeight="false" outlineLevel="0" collapsed="false">
      <c r="A55" s="15"/>
      <c r="B55" s="15"/>
      <c r="C55" s="15"/>
      <c r="D55" s="17"/>
      <c r="E55" s="17"/>
      <c r="F55" s="15"/>
      <c r="G55" s="15"/>
      <c r="H55" s="15"/>
      <c r="I55" s="15" t="n">
        <f aca="true">IF(G55="",0,IF(G55="Closed",0,IF(G55="Cancelled",0,IF(TODAY()&gt;E55,TODAY()-E55,0))))</f>
        <v>0</v>
      </c>
      <c r="J55" s="15"/>
    </row>
    <row r="56" customFormat="false" ht="15" hidden="false" customHeight="false" outlineLevel="0" collapsed="false">
      <c r="A56" s="15"/>
      <c r="B56" s="15"/>
      <c r="C56" s="15"/>
      <c r="D56" s="17"/>
      <c r="E56" s="17"/>
      <c r="F56" s="15"/>
      <c r="G56" s="15"/>
      <c r="H56" s="15"/>
      <c r="I56" s="15" t="n">
        <f aca="true">IF(G56="",0,IF(G56="Closed",0,IF(G56="Cancelled",0,IF(TODAY()&gt;E56,TODAY()-E56,0))))</f>
        <v>0</v>
      </c>
      <c r="J56" s="15"/>
    </row>
    <row r="57" customFormat="false" ht="15" hidden="false" customHeight="false" outlineLevel="0" collapsed="false">
      <c r="A57" s="15"/>
      <c r="B57" s="15"/>
      <c r="C57" s="15"/>
      <c r="D57" s="17"/>
      <c r="E57" s="17"/>
      <c r="F57" s="15"/>
      <c r="G57" s="15"/>
      <c r="H57" s="15"/>
      <c r="I57" s="15" t="n">
        <f aca="true">IF(G57="",0,IF(G57="Closed",0,IF(G57="Cancelled",0,IF(TODAY()&gt;E57,TODAY()-E57,0))))</f>
        <v>0</v>
      </c>
      <c r="J57" s="15"/>
    </row>
    <row r="58" customFormat="false" ht="15" hidden="false" customHeight="false" outlineLevel="0" collapsed="false">
      <c r="A58" s="15"/>
      <c r="B58" s="15"/>
      <c r="C58" s="15"/>
      <c r="D58" s="17"/>
      <c r="E58" s="17"/>
      <c r="F58" s="15"/>
      <c r="G58" s="15"/>
      <c r="H58" s="15"/>
      <c r="I58" s="15" t="n">
        <f aca="true">IF(G58="",0,IF(G58="Closed",0,IF(G58="Cancelled",0,IF(TODAY()&gt;E58,TODAY()-E58,0))))</f>
        <v>0</v>
      </c>
      <c r="J58" s="15"/>
    </row>
    <row r="59" customFormat="false" ht="15" hidden="false" customHeight="false" outlineLevel="0" collapsed="false">
      <c r="A59" s="15"/>
      <c r="B59" s="15"/>
      <c r="C59" s="15"/>
      <c r="D59" s="17"/>
      <c r="E59" s="17"/>
      <c r="F59" s="15"/>
      <c r="G59" s="15"/>
      <c r="H59" s="15"/>
      <c r="I59" s="15" t="n">
        <f aca="true">IF(G59="",0,IF(G59="Closed",0,IF(G59="Cancelled",0,IF(TODAY()&gt;E59,TODAY()-E59,0))))</f>
        <v>0</v>
      </c>
      <c r="J59" s="15"/>
    </row>
    <row r="60" customFormat="false" ht="15" hidden="false" customHeight="false" outlineLevel="0" collapsed="false">
      <c r="A60" s="15"/>
      <c r="B60" s="15"/>
      <c r="C60" s="15"/>
      <c r="D60" s="17"/>
      <c r="E60" s="17"/>
      <c r="F60" s="15"/>
      <c r="G60" s="15"/>
      <c r="H60" s="15"/>
      <c r="I60" s="15" t="n">
        <f aca="true">IF(G60="",0,IF(G60="Closed",0,IF(G60="Cancelled",0,IF(TODAY()&gt;E60,TODAY()-E60,0))))</f>
        <v>0</v>
      </c>
      <c r="J60" s="15"/>
    </row>
    <row r="61" customFormat="false" ht="15" hidden="false" customHeight="false" outlineLevel="0" collapsed="false">
      <c r="A61" s="15"/>
      <c r="B61" s="15"/>
      <c r="C61" s="15"/>
      <c r="D61" s="17"/>
      <c r="E61" s="17"/>
      <c r="F61" s="15"/>
      <c r="G61" s="15"/>
      <c r="H61" s="15"/>
      <c r="I61" s="15" t="n">
        <f aca="true">IF(G61="",0,IF(G61="Closed",0,IF(G61="Cancelled",0,IF(TODAY()&gt;E61,TODAY()-E61,0))))</f>
        <v>0</v>
      </c>
      <c r="J61" s="15"/>
    </row>
    <row r="62" customFormat="false" ht="15" hidden="false" customHeight="false" outlineLevel="0" collapsed="false">
      <c r="A62" s="15"/>
      <c r="B62" s="15"/>
      <c r="C62" s="15"/>
      <c r="D62" s="17"/>
      <c r="E62" s="17"/>
      <c r="F62" s="15"/>
      <c r="G62" s="15"/>
      <c r="H62" s="15"/>
      <c r="I62" s="15" t="n">
        <f aca="true">IF(G62="",0,IF(G62="Closed",0,IF(G62="Cancelled",0,IF(TODAY()&gt;E62,TODAY()-E62,0))))</f>
        <v>0</v>
      </c>
      <c r="J62" s="15"/>
    </row>
    <row r="63" customFormat="false" ht="15" hidden="false" customHeight="false" outlineLevel="0" collapsed="false">
      <c r="A63" s="15"/>
      <c r="B63" s="15"/>
      <c r="C63" s="15"/>
      <c r="D63" s="17"/>
      <c r="E63" s="17"/>
      <c r="F63" s="15"/>
      <c r="G63" s="15"/>
      <c r="H63" s="15"/>
      <c r="I63" s="15" t="n">
        <f aca="true">IF(G63="",0,IF(G63="Closed",0,IF(G63="Cancelled",0,IF(TODAY()&gt;E63,TODAY()-E63,0))))</f>
        <v>0</v>
      </c>
      <c r="J63" s="15"/>
    </row>
    <row r="64" customFormat="false" ht="15" hidden="false" customHeight="false" outlineLevel="0" collapsed="false">
      <c r="A64" s="15"/>
      <c r="B64" s="15"/>
      <c r="C64" s="15"/>
      <c r="D64" s="17"/>
      <c r="E64" s="17"/>
      <c r="F64" s="15"/>
      <c r="G64" s="15"/>
      <c r="H64" s="15"/>
      <c r="I64" s="15" t="n">
        <f aca="true">IF(G64="",0,IF(G64="Closed",0,IF(G64="Cancelled",0,IF(TODAY()&gt;E64,TODAY()-E64,0))))</f>
        <v>0</v>
      </c>
      <c r="J64" s="15"/>
    </row>
    <row r="65" customFormat="false" ht="15" hidden="false" customHeight="false" outlineLevel="0" collapsed="false">
      <c r="A65" s="15"/>
      <c r="B65" s="15"/>
      <c r="C65" s="15"/>
      <c r="D65" s="17"/>
      <c r="E65" s="17"/>
      <c r="F65" s="15"/>
      <c r="G65" s="15"/>
      <c r="H65" s="15"/>
      <c r="I65" s="15" t="n">
        <f aca="true">IF(G65="",0,IF(G65="Closed",0,IF(G65="Cancelled",0,IF(TODAY()&gt;E65,TODAY()-E65,0))))</f>
        <v>0</v>
      </c>
      <c r="J65" s="15"/>
    </row>
    <row r="66" customFormat="false" ht="15" hidden="false" customHeight="false" outlineLevel="0" collapsed="false">
      <c r="A66" s="15"/>
      <c r="B66" s="15"/>
      <c r="C66" s="15"/>
      <c r="D66" s="17"/>
      <c r="E66" s="17"/>
      <c r="F66" s="15"/>
      <c r="G66" s="15"/>
      <c r="H66" s="15"/>
      <c r="I66" s="15" t="n">
        <f aca="true">IF(G66="",0,IF(G66="Closed",0,IF(G66="Cancelled",0,IF(TODAY()&gt;E66,TODAY()-E66,0))))</f>
        <v>0</v>
      </c>
      <c r="J66" s="15"/>
    </row>
    <row r="67" customFormat="false" ht="15" hidden="false" customHeight="false" outlineLevel="0" collapsed="false">
      <c r="A67" s="15"/>
      <c r="B67" s="15"/>
      <c r="C67" s="15"/>
      <c r="D67" s="17"/>
      <c r="E67" s="17"/>
      <c r="F67" s="15"/>
      <c r="G67" s="15"/>
      <c r="H67" s="15"/>
      <c r="I67" s="15" t="n">
        <f aca="true">IF(G67="",0,IF(G67="Closed",0,IF(G67="Cancelled",0,IF(TODAY()&gt;E67,TODAY()-E67,0))))</f>
        <v>0</v>
      </c>
      <c r="J67" s="15"/>
    </row>
  </sheetData>
  <autoFilter ref="A7:J67"/>
  <mergeCells count="2">
    <mergeCell ref="A1:J1"/>
    <mergeCell ref="A2:J2"/>
  </mergeCells>
  <conditionalFormatting sqref="A8:J67">
    <cfRule type="expression" priority="2" aboveAverage="0" equalAverage="0" bottom="0" percent="0" rank="0" text="" dxfId="8">
      <formula>$I8&gt;0</formula>
    </cfRule>
    <cfRule type="expression" priority="3" aboveAverage="0" equalAverage="0" bottom="0" percent="0" rank="0" text="" dxfId="12">
      <formula>AND($I8=0,$G8&lt;&gt;"Closed",$G8&lt;&gt;"Cancelled",$E8-TODAY()&lt;=3,$E8-TODAY()&gt;=0)</formula>
    </cfRule>
    <cfRule type="expression" priority="4" aboveAverage="0" equalAverage="0" bottom="0" percent="0" rank="0" text="" dxfId="7">
      <formula>$G8="Closed"</formula>
    </cfRule>
  </conditionalFormatting>
  <dataValidations count="2">
    <dataValidation allowBlank="true" errorStyle="stop" operator="between" showDropDown="false" showErrorMessage="false" showInputMessage="false" sqref="F8:F67" type="list">
      <formula1>Priority</formula1>
      <formula2>0</formula2>
    </dataValidation>
    <dataValidation allowBlank="true" errorStyle="stop" operator="between" showDropDown="false" showErrorMessage="false" showInputMessage="false" sqref="G8:G67" type="list">
      <formula1>ActionStatus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18"/>
    <col collapsed="false" customWidth="true" hidden="false" outlineLevel="0" max="4" min="4" style="0" width="12"/>
    <col collapsed="false" customWidth="true" hidden="false" outlineLevel="0" max="6" min="5" style="0" width="13"/>
    <col collapsed="false" customWidth="true" hidden="false" outlineLevel="0" max="7" min="7" style="0" width="11"/>
    <col collapsed="false" customWidth="true" hidden="false" outlineLevel="0" max="8" min="8" style="0" width="12"/>
    <col collapsed="false" customWidth="true" hidden="false" outlineLevel="0" max="9" min="9" style="0" width="18"/>
    <col collapsed="false" customWidth="true" hidden="false" outlineLevel="0" max="10" min="10" style="0" width="22"/>
  </cols>
  <sheetData>
    <row r="1" customFormat="false" ht="25.5" hidden="false" customHeight="true" outlineLevel="0" collapsed="false">
      <c r="A1" s="1" t="s">
        <v>141</v>
      </c>
      <c r="B1" s="1"/>
      <c r="C1" s="1"/>
      <c r="D1" s="1"/>
      <c r="E1" s="1"/>
      <c r="F1" s="1"/>
      <c r="G1" s="1"/>
      <c r="H1" s="1"/>
      <c r="I1" s="1"/>
      <c r="J1" s="1"/>
    </row>
    <row r="2" customFormat="false" ht="15.75" hidden="false" customHeight="true" outlineLevel="0" collapsed="false">
      <c r="A2" s="2" t="s">
        <v>142</v>
      </c>
      <c r="B2" s="2"/>
      <c r="C2" s="2"/>
      <c r="D2" s="2"/>
      <c r="E2" s="2"/>
      <c r="F2" s="2"/>
      <c r="G2" s="2"/>
      <c r="H2" s="2"/>
      <c r="I2" s="2"/>
      <c r="J2" s="2"/>
    </row>
    <row r="3" customFormat="false" ht="15" hidden="false" customHeight="false" outlineLevel="0" collapsed="false">
      <c r="J3" s="3" t="s">
        <v>105</v>
      </c>
    </row>
    <row r="4" customFormat="false" ht="15" hidden="false" customHeight="false" outlineLevel="0" collapsed="false">
      <c r="J4" s="4" t="s">
        <v>143</v>
      </c>
      <c r="K4" s="0" t="n">
        <f aca="false">COUNTIFS(F8:F67,"Not Started")+COUNTIFS(F8:F67,"In Progress")</f>
        <v>3</v>
      </c>
    </row>
    <row r="5" customFormat="false" ht="15" hidden="false" customHeight="false" outlineLevel="0" collapsed="false">
      <c r="J5" s="4" t="s">
        <v>144</v>
      </c>
      <c r="K5" s="0" t="n">
        <f aca="false">COUNTIFS(F8:F67,"&lt;&gt;",F8:F67,"&lt;&gt;Accepted",F8:F67,"&lt;&gt;Rejected",H8:H67,"&lt;=7",H8:H67,"&gt;=0")</f>
        <v>2</v>
      </c>
    </row>
    <row r="6" customFormat="false" ht="15" hidden="false" customHeight="false" outlineLevel="0" collapsed="false">
      <c r="J6" s="4" t="s">
        <v>145</v>
      </c>
      <c r="K6" s="0" t="n">
        <f aca="false">COUNTIF(F8:F67,"Accepted")</f>
        <v>0</v>
      </c>
    </row>
    <row r="7" customFormat="false" ht="35.05" hidden="false" customHeight="false" outlineLevel="0" collapsed="false">
      <c r="A7" s="10" t="s">
        <v>146</v>
      </c>
      <c r="B7" s="10" t="s">
        <v>110</v>
      </c>
      <c r="C7" s="10" t="s">
        <v>36</v>
      </c>
      <c r="D7" s="10" t="s">
        <v>83</v>
      </c>
      <c r="E7" s="10" t="s">
        <v>112</v>
      </c>
      <c r="F7" s="10" t="s">
        <v>88</v>
      </c>
      <c r="G7" s="10" t="s">
        <v>147</v>
      </c>
      <c r="H7" s="10" t="s">
        <v>148</v>
      </c>
      <c r="I7" s="10" t="s">
        <v>149</v>
      </c>
      <c r="J7" s="10" t="s">
        <v>40</v>
      </c>
    </row>
    <row r="8" customFormat="false" ht="15" hidden="false" customHeight="false" outlineLevel="0" collapsed="false">
      <c r="A8" s="13" t="s">
        <v>150</v>
      </c>
      <c r="B8" s="13" t="s">
        <v>151</v>
      </c>
      <c r="C8" s="13" t="s">
        <v>44</v>
      </c>
      <c r="D8" s="13" t="s">
        <v>152</v>
      </c>
      <c r="E8" s="14" t="n">
        <f aca="true">TODAY()+2</f>
        <v>46223</v>
      </c>
      <c r="F8" s="13" t="s">
        <v>153</v>
      </c>
      <c r="G8" s="18" t="n">
        <v>0.7</v>
      </c>
      <c r="H8" s="16" t="n">
        <f aca="true">IF(F8="Accepted",0,IF(F8="Rejected",0,E8-TODAY()))</f>
        <v>2</v>
      </c>
      <c r="I8" s="13" t="s">
        <v>89</v>
      </c>
      <c r="J8" s="13"/>
    </row>
    <row r="9" customFormat="false" ht="15" hidden="false" customHeight="false" outlineLevel="0" collapsed="false">
      <c r="A9" s="13" t="s">
        <v>154</v>
      </c>
      <c r="B9" s="13" t="s">
        <v>155</v>
      </c>
      <c r="C9" s="13" t="s">
        <v>51</v>
      </c>
      <c r="D9" s="13" t="s">
        <v>156</v>
      </c>
      <c r="E9" s="14" t="n">
        <f aca="true">TODAY()+5</f>
        <v>46226</v>
      </c>
      <c r="F9" s="13" t="s">
        <v>153</v>
      </c>
      <c r="G9" s="18" t="n">
        <v>0.5</v>
      </c>
      <c r="H9" s="16" t="n">
        <f aca="true">IF(F9="Accepted",0,IF(F9="Rejected",0,E9-TODAY()))</f>
        <v>5</v>
      </c>
      <c r="I9" s="13"/>
      <c r="J9" s="13"/>
    </row>
    <row r="10" customFormat="false" ht="15" hidden="false" customHeight="false" outlineLevel="0" collapsed="false">
      <c r="A10" s="13" t="s">
        <v>157</v>
      </c>
      <c r="B10" s="13" t="s">
        <v>158</v>
      </c>
      <c r="C10" s="13" t="s">
        <v>44</v>
      </c>
      <c r="D10" s="13" t="s">
        <v>152</v>
      </c>
      <c r="E10" s="14" t="n">
        <f aca="true">TODAY()+12</f>
        <v>46233</v>
      </c>
      <c r="F10" s="13" t="s">
        <v>159</v>
      </c>
      <c r="G10" s="18" t="n">
        <v>0</v>
      </c>
      <c r="H10" s="16" t="n">
        <f aca="true">IF(F10="Accepted",0,IF(F10="Rejected",0,E10-TODAY()))</f>
        <v>12</v>
      </c>
      <c r="I10" s="13"/>
      <c r="J10" s="13"/>
    </row>
    <row r="11" customFormat="false" ht="15" hidden="false" customHeight="false" outlineLevel="0" collapsed="false">
      <c r="A11" s="13" t="s">
        <v>160</v>
      </c>
      <c r="B11" s="13" t="s">
        <v>161</v>
      </c>
      <c r="C11" s="13" t="s">
        <v>76</v>
      </c>
      <c r="D11" s="13" t="s">
        <v>162</v>
      </c>
      <c r="E11" s="14" t="n">
        <f aca="true">TODAY()-3</f>
        <v>46218</v>
      </c>
      <c r="F11" s="13" t="s">
        <v>163</v>
      </c>
      <c r="G11" s="18" t="n">
        <v>1</v>
      </c>
      <c r="H11" s="16" t="n">
        <f aca="true">IF(F11="Accepted",0,IF(F11="Rejected",0,E11-TODAY()))</f>
        <v>-3</v>
      </c>
      <c r="I11" s="13" t="s">
        <v>136</v>
      </c>
      <c r="J11" s="13" t="s">
        <v>164</v>
      </c>
    </row>
    <row r="12" customFormat="false" ht="15" hidden="false" customHeight="false" outlineLevel="0" collapsed="false">
      <c r="A12" s="15"/>
      <c r="B12" s="15"/>
      <c r="C12" s="15"/>
      <c r="D12" s="15"/>
      <c r="E12" s="17"/>
      <c r="F12" s="15"/>
      <c r="G12" s="19"/>
      <c r="H12" s="15" t="n">
        <f aca="true">IF(F12="",0,IF(F12="Accepted",0,IF(F12="Rejected",0,E12-TODAY())))</f>
        <v>0</v>
      </c>
      <c r="I12" s="15"/>
      <c r="J12" s="15"/>
    </row>
    <row r="13" customFormat="false" ht="15" hidden="false" customHeight="false" outlineLevel="0" collapsed="false">
      <c r="A13" s="15"/>
      <c r="B13" s="15"/>
      <c r="C13" s="15"/>
      <c r="D13" s="15"/>
      <c r="E13" s="17"/>
      <c r="F13" s="15"/>
      <c r="G13" s="19"/>
      <c r="H13" s="15" t="n">
        <f aca="true">IF(F13="",0,IF(F13="Accepted",0,IF(F13="Rejected",0,E13-TODAY())))</f>
        <v>0</v>
      </c>
      <c r="I13" s="15"/>
      <c r="J13" s="15"/>
    </row>
    <row r="14" customFormat="false" ht="15" hidden="false" customHeight="false" outlineLevel="0" collapsed="false">
      <c r="A14" s="15"/>
      <c r="B14" s="15"/>
      <c r="C14" s="15"/>
      <c r="D14" s="15"/>
      <c r="E14" s="17"/>
      <c r="F14" s="15"/>
      <c r="G14" s="19"/>
      <c r="H14" s="15" t="n">
        <f aca="true">IF(F14="",0,IF(F14="Accepted",0,IF(F14="Rejected",0,E14-TODAY())))</f>
        <v>0</v>
      </c>
      <c r="I14" s="15"/>
      <c r="J14" s="15"/>
    </row>
    <row r="15" customFormat="false" ht="15" hidden="false" customHeight="false" outlineLevel="0" collapsed="false">
      <c r="A15" s="15"/>
      <c r="B15" s="15"/>
      <c r="C15" s="15"/>
      <c r="D15" s="15"/>
      <c r="E15" s="17"/>
      <c r="F15" s="15"/>
      <c r="G15" s="19"/>
      <c r="H15" s="15" t="n">
        <f aca="true">IF(F15="",0,IF(F15="Accepted",0,IF(F15="Rejected",0,E15-TODAY())))</f>
        <v>0</v>
      </c>
      <c r="I15" s="15"/>
      <c r="J15" s="15"/>
    </row>
    <row r="16" customFormat="false" ht="15" hidden="false" customHeight="false" outlineLevel="0" collapsed="false">
      <c r="A16" s="15"/>
      <c r="B16" s="15"/>
      <c r="C16" s="15"/>
      <c r="D16" s="15"/>
      <c r="E16" s="17"/>
      <c r="F16" s="15"/>
      <c r="G16" s="19"/>
      <c r="H16" s="15" t="n">
        <f aca="true">IF(F16="",0,IF(F16="Accepted",0,IF(F16="Rejected",0,E16-TODAY())))</f>
        <v>0</v>
      </c>
      <c r="I16" s="15"/>
      <c r="J16" s="15"/>
    </row>
    <row r="17" customFormat="false" ht="15" hidden="false" customHeight="false" outlineLevel="0" collapsed="false">
      <c r="A17" s="15"/>
      <c r="B17" s="15"/>
      <c r="C17" s="15"/>
      <c r="D17" s="15"/>
      <c r="E17" s="17"/>
      <c r="F17" s="15"/>
      <c r="G17" s="19"/>
      <c r="H17" s="15" t="n">
        <f aca="true">IF(F17="",0,IF(F17="Accepted",0,IF(F17="Rejected",0,E17-TODAY())))</f>
        <v>0</v>
      </c>
      <c r="I17" s="15"/>
      <c r="J17" s="15"/>
    </row>
    <row r="18" customFormat="false" ht="15" hidden="false" customHeight="false" outlineLevel="0" collapsed="false">
      <c r="A18" s="15"/>
      <c r="B18" s="15"/>
      <c r="C18" s="15"/>
      <c r="D18" s="15"/>
      <c r="E18" s="17"/>
      <c r="F18" s="15"/>
      <c r="G18" s="19"/>
      <c r="H18" s="15" t="n">
        <f aca="true">IF(F18="",0,IF(F18="Accepted",0,IF(F18="Rejected",0,E18-TODAY())))</f>
        <v>0</v>
      </c>
      <c r="I18" s="15"/>
      <c r="J18" s="15"/>
    </row>
    <row r="19" customFormat="false" ht="15" hidden="false" customHeight="false" outlineLevel="0" collapsed="false">
      <c r="A19" s="15"/>
      <c r="B19" s="15"/>
      <c r="C19" s="15"/>
      <c r="D19" s="15"/>
      <c r="E19" s="17"/>
      <c r="F19" s="15"/>
      <c r="G19" s="19"/>
      <c r="H19" s="15" t="n">
        <f aca="true">IF(F19="",0,IF(F19="Accepted",0,IF(F19="Rejected",0,E19-TODAY())))</f>
        <v>0</v>
      </c>
      <c r="I19" s="15"/>
      <c r="J19" s="15"/>
    </row>
    <row r="20" customFormat="false" ht="15" hidden="false" customHeight="false" outlineLevel="0" collapsed="false">
      <c r="A20" s="15"/>
      <c r="B20" s="15"/>
      <c r="C20" s="15"/>
      <c r="D20" s="15"/>
      <c r="E20" s="17"/>
      <c r="F20" s="15"/>
      <c r="G20" s="19"/>
      <c r="H20" s="15" t="n">
        <f aca="true">IF(F20="",0,IF(F20="Accepted",0,IF(F20="Rejected",0,E20-TODAY())))</f>
        <v>0</v>
      </c>
      <c r="I20" s="15"/>
      <c r="J20" s="15"/>
    </row>
    <row r="21" customFormat="false" ht="15" hidden="false" customHeight="false" outlineLevel="0" collapsed="false">
      <c r="A21" s="15"/>
      <c r="B21" s="15"/>
      <c r="C21" s="15"/>
      <c r="D21" s="15"/>
      <c r="E21" s="17"/>
      <c r="F21" s="15"/>
      <c r="G21" s="19"/>
      <c r="H21" s="15" t="n">
        <f aca="true">IF(F21="",0,IF(F21="Accepted",0,IF(F21="Rejected",0,E21-TODAY())))</f>
        <v>0</v>
      </c>
      <c r="I21" s="15"/>
      <c r="J21" s="15"/>
    </row>
    <row r="22" customFormat="false" ht="15" hidden="false" customHeight="false" outlineLevel="0" collapsed="false">
      <c r="A22" s="15"/>
      <c r="B22" s="15"/>
      <c r="C22" s="15"/>
      <c r="D22" s="15"/>
      <c r="E22" s="17"/>
      <c r="F22" s="15"/>
      <c r="G22" s="19"/>
      <c r="H22" s="15" t="n">
        <f aca="true">IF(F22="",0,IF(F22="Accepted",0,IF(F22="Rejected",0,E22-TODAY())))</f>
        <v>0</v>
      </c>
      <c r="I22" s="15"/>
      <c r="J22" s="15"/>
    </row>
    <row r="23" customFormat="false" ht="15" hidden="false" customHeight="false" outlineLevel="0" collapsed="false">
      <c r="A23" s="15"/>
      <c r="B23" s="15"/>
      <c r="C23" s="15"/>
      <c r="D23" s="15"/>
      <c r="E23" s="17"/>
      <c r="F23" s="15"/>
      <c r="G23" s="19"/>
      <c r="H23" s="15" t="n">
        <f aca="true">IF(F23="",0,IF(F23="Accepted",0,IF(F23="Rejected",0,E23-TODAY())))</f>
        <v>0</v>
      </c>
      <c r="I23" s="15"/>
      <c r="J23" s="15"/>
    </row>
    <row r="24" customFormat="false" ht="15" hidden="false" customHeight="false" outlineLevel="0" collapsed="false">
      <c r="A24" s="15"/>
      <c r="B24" s="15"/>
      <c r="C24" s="15"/>
      <c r="D24" s="15"/>
      <c r="E24" s="17"/>
      <c r="F24" s="15"/>
      <c r="G24" s="19"/>
      <c r="H24" s="15" t="n">
        <f aca="true">IF(F24="",0,IF(F24="Accepted",0,IF(F24="Rejected",0,E24-TODAY())))</f>
        <v>0</v>
      </c>
      <c r="I24" s="15"/>
      <c r="J24" s="15"/>
    </row>
    <row r="25" customFormat="false" ht="15" hidden="false" customHeight="false" outlineLevel="0" collapsed="false">
      <c r="A25" s="15"/>
      <c r="B25" s="15"/>
      <c r="C25" s="15"/>
      <c r="D25" s="15"/>
      <c r="E25" s="17"/>
      <c r="F25" s="15"/>
      <c r="G25" s="19"/>
      <c r="H25" s="15" t="n">
        <f aca="true">IF(F25="",0,IF(F25="Accepted",0,IF(F25="Rejected",0,E25-TODAY())))</f>
        <v>0</v>
      </c>
      <c r="I25" s="15"/>
      <c r="J25" s="15"/>
    </row>
    <row r="26" customFormat="false" ht="15" hidden="false" customHeight="false" outlineLevel="0" collapsed="false">
      <c r="A26" s="15"/>
      <c r="B26" s="15"/>
      <c r="C26" s="15"/>
      <c r="D26" s="15"/>
      <c r="E26" s="17"/>
      <c r="F26" s="15"/>
      <c r="G26" s="19"/>
      <c r="H26" s="15" t="n">
        <f aca="true">IF(F26="",0,IF(F26="Accepted",0,IF(F26="Rejected",0,E26-TODAY())))</f>
        <v>0</v>
      </c>
      <c r="I26" s="15"/>
      <c r="J26" s="15"/>
    </row>
    <row r="27" customFormat="false" ht="15" hidden="false" customHeight="false" outlineLevel="0" collapsed="false">
      <c r="A27" s="15"/>
      <c r="B27" s="15"/>
      <c r="C27" s="15"/>
      <c r="D27" s="15"/>
      <c r="E27" s="17"/>
      <c r="F27" s="15"/>
      <c r="G27" s="19"/>
      <c r="H27" s="15" t="n">
        <f aca="true">IF(F27="",0,IF(F27="Accepted",0,IF(F27="Rejected",0,E27-TODAY())))</f>
        <v>0</v>
      </c>
      <c r="I27" s="15"/>
      <c r="J27" s="15"/>
    </row>
    <row r="28" customFormat="false" ht="15" hidden="false" customHeight="false" outlineLevel="0" collapsed="false">
      <c r="A28" s="15"/>
      <c r="B28" s="15"/>
      <c r="C28" s="15"/>
      <c r="D28" s="15"/>
      <c r="E28" s="17"/>
      <c r="F28" s="15"/>
      <c r="G28" s="19"/>
      <c r="H28" s="15" t="n">
        <f aca="true">IF(F28="",0,IF(F28="Accepted",0,IF(F28="Rejected",0,E28-TODAY())))</f>
        <v>0</v>
      </c>
      <c r="I28" s="15"/>
      <c r="J28" s="15"/>
    </row>
    <row r="29" customFormat="false" ht="15" hidden="false" customHeight="false" outlineLevel="0" collapsed="false">
      <c r="A29" s="15"/>
      <c r="B29" s="15"/>
      <c r="C29" s="15"/>
      <c r="D29" s="15"/>
      <c r="E29" s="17"/>
      <c r="F29" s="15"/>
      <c r="G29" s="19"/>
      <c r="H29" s="15" t="n">
        <f aca="true">IF(F29="",0,IF(F29="Accepted",0,IF(F29="Rejected",0,E29-TODAY())))</f>
        <v>0</v>
      </c>
      <c r="I29" s="15"/>
      <c r="J29" s="15"/>
    </row>
    <row r="30" customFormat="false" ht="15" hidden="false" customHeight="false" outlineLevel="0" collapsed="false">
      <c r="A30" s="15"/>
      <c r="B30" s="15"/>
      <c r="C30" s="15"/>
      <c r="D30" s="15"/>
      <c r="E30" s="17"/>
      <c r="F30" s="15"/>
      <c r="G30" s="19"/>
      <c r="H30" s="15" t="n">
        <f aca="true">IF(F30="",0,IF(F30="Accepted",0,IF(F30="Rejected",0,E30-TODAY())))</f>
        <v>0</v>
      </c>
      <c r="I30" s="15"/>
      <c r="J30" s="15"/>
    </row>
    <row r="31" customFormat="false" ht="15" hidden="false" customHeight="false" outlineLevel="0" collapsed="false">
      <c r="A31" s="15"/>
      <c r="B31" s="15"/>
      <c r="C31" s="15"/>
      <c r="D31" s="15"/>
      <c r="E31" s="17"/>
      <c r="F31" s="15"/>
      <c r="G31" s="19"/>
      <c r="H31" s="15" t="n">
        <f aca="true">IF(F31="",0,IF(F31="Accepted",0,IF(F31="Rejected",0,E31-TODAY())))</f>
        <v>0</v>
      </c>
      <c r="I31" s="15"/>
      <c r="J31" s="15"/>
    </row>
    <row r="32" customFormat="false" ht="15" hidden="false" customHeight="false" outlineLevel="0" collapsed="false">
      <c r="A32" s="15"/>
      <c r="B32" s="15"/>
      <c r="C32" s="15"/>
      <c r="D32" s="15"/>
      <c r="E32" s="17"/>
      <c r="F32" s="15"/>
      <c r="G32" s="19"/>
      <c r="H32" s="15" t="n">
        <f aca="true">IF(F32="",0,IF(F32="Accepted",0,IF(F32="Rejected",0,E32-TODAY())))</f>
        <v>0</v>
      </c>
      <c r="I32" s="15"/>
      <c r="J32" s="15"/>
    </row>
    <row r="33" customFormat="false" ht="15" hidden="false" customHeight="false" outlineLevel="0" collapsed="false">
      <c r="A33" s="15"/>
      <c r="B33" s="15"/>
      <c r="C33" s="15"/>
      <c r="D33" s="15"/>
      <c r="E33" s="17"/>
      <c r="F33" s="15"/>
      <c r="G33" s="19"/>
      <c r="H33" s="15" t="n">
        <f aca="true">IF(F33="",0,IF(F33="Accepted",0,IF(F33="Rejected",0,E33-TODAY())))</f>
        <v>0</v>
      </c>
      <c r="I33" s="15"/>
      <c r="J33" s="15"/>
    </row>
    <row r="34" customFormat="false" ht="15" hidden="false" customHeight="false" outlineLevel="0" collapsed="false">
      <c r="A34" s="15"/>
      <c r="B34" s="15"/>
      <c r="C34" s="15"/>
      <c r="D34" s="15"/>
      <c r="E34" s="17"/>
      <c r="F34" s="15"/>
      <c r="G34" s="19"/>
      <c r="H34" s="15" t="n">
        <f aca="true">IF(F34="",0,IF(F34="Accepted",0,IF(F34="Rejected",0,E34-TODAY())))</f>
        <v>0</v>
      </c>
      <c r="I34" s="15"/>
      <c r="J34" s="15"/>
    </row>
    <row r="35" customFormat="false" ht="15" hidden="false" customHeight="false" outlineLevel="0" collapsed="false">
      <c r="A35" s="15"/>
      <c r="B35" s="15"/>
      <c r="C35" s="15"/>
      <c r="D35" s="15"/>
      <c r="E35" s="17"/>
      <c r="F35" s="15"/>
      <c r="G35" s="19"/>
      <c r="H35" s="15" t="n">
        <f aca="true">IF(F35="",0,IF(F35="Accepted",0,IF(F35="Rejected",0,E35-TODAY())))</f>
        <v>0</v>
      </c>
      <c r="I35" s="15"/>
      <c r="J35" s="15"/>
    </row>
    <row r="36" customFormat="false" ht="15" hidden="false" customHeight="false" outlineLevel="0" collapsed="false">
      <c r="A36" s="15"/>
      <c r="B36" s="15"/>
      <c r="C36" s="15"/>
      <c r="D36" s="15"/>
      <c r="E36" s="17"/>
      <c r="F36" s="15"/>
      <c r="G36" s="19"/>
      <c r="H36" s="15" t="n">
        <f aca="true">IF(F36="",0,IF(F36="Accepted",0,IF(F36="Rejected",0,E36-TODAY())))</f>
        <v>0</v>
      </c>
      <c r="I36" s="15"/>
      <c r="J36" s="15"/>
    </row>
    <row r="37" customFormat="false" ht="15" hidden="false" customHeight="false" outlineLevel="0" collapsed="false">
      <c r="A37" s="15"/>
      <c r="B37" s="15"/>
      <c r="C37" s="15"/>
      <c r="D37" s="15"/>
      <c r="E37" s="17"/>
      <c r="F37" s="15"/>
      <c r="G37" s="19"/>
      <c r="H37" s="15" t="n">
        <f aca="true">IF(F37="",0,IF(F37="Accepted",0,IF(F37="Rejected",0,E37-TODAY())))</f>
        <v>0</v>
      </c>
      <c r="I37" s="15"/>
      <c r="J37" s="15"/>
    </row>
    <row r="38" customFormat="false" ht="15" hidden="false" customHeight="false" outlineLevel="0" collapsed="false">
      <c r="A38" s="15"/>
      <c r="B38" s="15"/>
      <c r="C38" s="15"/>
      <c r="D38" s="15"/>
      <c r="E38" s="17"/>
      <c r="F38" s="15"/>
      <c r="G38" s="19"/>
      <c r="H38" s="15" t="n">
        <f aca="true">IF(F38="",0,IF(F38="Accepted",0,IF(F38="Rejected",0,E38-TODAY())))</f>
        <v>0</v>
      </c>
      <c r="I38" s="15"/>
      <c r="J38" s="15"/>
    </row>
    <row r="39" customFormat="false" ht="15" hidden="false" customHeight="false" outlineLevel="0" collapsed="false">
      <c r="A39" s="15"/>
      <c r="B39" s="15"/>
      <c r="C39" s="15"/>
      <c r="D39" s="15"/>
      <c r="E39" s="17"/>
      <c r="F39" s="15"/>
      <c r="G39" s="19"/>
      <c r="H39" s="15" t="n">
        <f aca="true">IF(F39="",0,IF(F39="Accepted",0,IF(F39="Rejected",0,E39-TODAY())))</f>
        <v>0</v>
      </c>
      <c r="I39" s="15"/>
      <c r="J39" s="15"/>
    </row>
    <row r="40" customFormat="false" ht="15" hidden="false" customHeight="false" outlineLevel="0" collapsed="false">
      <c r="A40" s="15"/>
      <c r="B40" s="15"/>
      <c r="C40" s="15"/>
      <c r="D40" s="15"/>
      <c r="E40" s="17"/>
      <c r="F40" s="15"/>
      <c r="G40" s="19"/>
      <c r="H40" s="15" t="n">
        <f aca="true">IF(F40="",0,IF(F40="Accepted",0,IF(F40="Rejected",0,E40-TODAY())))</f>
        <v>0</v>
      </c>
      <c r="I40" s="15"/>
      <c r="J40" s="15"/>
    </row>
    <row r="41" customFormat="false" ht="15" hidden="false" customHeight="false" outlineLevel="0" collapsed="false">
      <c r="A41" s="15"/>
      <c r="B41" s="15"/>
      <c r="C41" s="15"/>
      <c r="D41" s="15"/>
      <c r="E41" s="17"/>
      <c r="F41" s="15"/>
      <c r="G41" s="19"/>
      <c r="H41" s="15" t="n">
        <f aca="true">IF(F41="",0,IF(F41="Accepted",0,IF(F41="Rejected",0,E41-TODAY())))</f>
        <v>0</v>
      </c>
      <c r="I41" s="15"/>
      <c r="J41" s="15"/>
    </row>
    <row r="42" customFormat="false" ht="15" hidden="false" customHeight="false" outlineLevel="0" collapsed="false">
      <c r="A42" s="15"/>
      <c r="B42" s="15"/>
      <c r="C42" s="15"/>
      <c r="D42" s="15"/>
      <c r="E42" s="17"/>
      <c r="F42" s="15"/>
      <c r="G42" s="19"/>
      <c r="H42" s="15" t="n">
        <f aca="true">IF(F42="",0,IF(F42="Accepted",0,IF(F42="Rejected",0,E42-TODAY())))</f>
        <v>0</v>
      </c>
      <c r="I42" s="15"/>
      <c r="J42" s="15"/>
    </row>
    <row r="43" customFormat="false" ht="15" hidden="false" customHeight="false" outlineLevel="0" collapsed="false">
      <c r="A43" s="15"/>
      <c r="B43" s="15"/>
      <c r="C43" s="15"/>
      <c r="D43" s="15"/>
      <c r="E43" s="17"/>
      <c r="F43" s="15"/>
      <c r="G43" s="19"/>
      <c r="H43" s="15" t="n">
        <f aca="true">IF(F43="",0,IF(F43="Accepted",0,IF(F43="Rejected",0,E43-TODAY())))</f>
        <v>0</v>
      </c>
      <c r="I43" s="15"/>
      <c r="J43" s="15"/>
    </row>
    <row r="44" customFormat="false" ht="15" hidden="false" customHeight="false" outlineLevel="0" collapsed="false">
      <c r="A44" s="15"/>
      <c r="B44" s="15"/>
      <c r="C44" s="15"/>
      <c r="D44" s="15"/>
      <c r="E44" s="17"/>
      <c r="F44" s="15"/>
      <c r="G44" s="19"/>
      <c r="H44" s="15" t="n">
        <f aca="true">IF(F44="",0,IF(F44="Accepted",0,IF(F44="Rejected",0,E44-TODAY())))</f>
        <v>0</v>
      </c>
      <c r="I44" s="15"/>
      <c r="J44" s="15"/>
    </row>
    <row r="45" customFormat="false" ht="15" hidden="false" customHeight="false" outlineLevel="0" collapsed="false">
      <c r="A45" s="15"/>
      <c r="B45" s="15"/>
      <c r="C45" s="15"/>
      <c r="D45" s="15"/>
      <c r="E45" s="17"/>
      <c r="F45" s="15"/>
      <c r="G45" s="19"/>
      <c r="H45" s="15" t="n">
        <f aca="true">IF(F45="",0,IF(F45="Accepted",0,IF(F45="Rejected",0,E45-TODAY())))</f>
        <v>0</v>
      </c>
      <c r="I45" s="15"/>
      <c r="J45" s="15"/>
    </row>
    <row r="46" customFormat="false" ht="15" hidden="false" customHeight="false" outlineLevel="0" collapsed="false">
      <c r="A46" s="15"/>
      <c r="B46" s="15"/>
      <c r="C46" s="15"/>
      <c r="D46" s="15"/>
      <c r="E46" s="17"/>
      <c r="F46" s="15"/>
      <c r="G46" s="19"/>
      <c r="H46" s="15" t="n">
        <f aca="true">IF(F46="",0,IF(F46="Accepted",0,IF(F46="Rejected",0,E46-TODAY())))</f>
        <v>0</v>
      </c>
      <c r="I46" s="15"/>
      <c r="J46" s="15"/>
    </row>
    <row r="47" customFormat="false" ht="15" hidden="false" customHeight="false" outlineLevel="0" collapsed="false">
      <c r="A47" s="15"/>
      <c r="B47" s="15"/>
      <c r="C47" s="15"/>
      <c r="D47" s="15"/>
      <c r="E47" s="17"/>
      <c r="F47" s="15"/>
      <c r="G47" s="19"/>
      <c r="H47" s="15" t="n">
        <f aca="true">IF(F47="",0,IF(F47="Accepted",0,IF(F47="Rejected",0,E47-TODAY())))</f>
        <v>0</v>
      </c>
      <c r="I47" s="15"/>
      <c r="J47" s="15"/>
    </row>
    <row r="48" customFormat="false" ht="15" hidden="false" customHeight="false" outlineLevel="0" collapsed="false">
      <c r="A48" s="15"/>
      <c r="B48" s="15"/>
      <c r="C48" s="15"/>
      <c r="D48" s="15"/>
      <c r="E48" s="17"/>
      <c r="F48" s="15"/>
      <c r="G48" s="19"/>
      <c r="H48" s="15" t="n">
        <f aca="true">IF(F48="",0,IF(F48="Accepted",0,IF(F48="Rejected",0,E48-TODAY())))</f>
        <v>0</v>
      </c>
      <c r="I48" s="15"/>
      <c r="J48" s="15"/>
    </row>
    <row r="49" customFormat="false" ht="15" hidden="false" customHeight="false" outlineLevel="0" collapsed="false">
      <c r="A49" s="15"/>
      <c r="B49" s="15"/>
      <c r="C49" s="15"/>
      <c r="D49" s="15"/>
      <c r="E49" s="17"/>
      <c r="F49" s="15"/>
      <c r="G49" s="19"/>
      <c r="H49" s="15" t="n">
        <f aca="true">IF(F49="",0,IF(F49="Accepted",0,IF(F49="Rejected",0,E49-TODAY())))</f>
        <v>0</v>
      </c>
      <c r="I49" s="15"/>
      <c r="J49" s="15"/>
    </row>
    <row r="50" customFormat="false" ht="15" hidden="false" customHeight="false" outlineLevel="0" collapsed="false">
      <c r="A50" s="15"/>
      <c r="B50" s="15"/>
      <c r="C50" s="15"/>
      <c r="D50" s="15"/>
      <c r="E50" s="17"/>
      <c r="F50" s="15"/>
      <c r="G50" s="19"/>
      <c r="H50" s="15" t="n">
        <f aca="true">IF(F50="",0,IF(F50="Accepted",0,IF(F50="Rejected",0,E50-TODAY())))</f>
        <v>0</v>
      </c>
      <c r="I50" s="15"/>
      <c r="J50" s="15"/>
    </row>
    <row r="51" customFormat="false" ht="15" hidden="false" customHeight="false" outlineLevel="0" collapsed="false">
      <c r="A51" s="15"/>
      <c r="B51" s="15"/>
      <c r="C51" s="15"/>
      <c r="D51" s="15"/>
      <c r="E51" s="17"/>
      <c r="F51" s="15"/>
      <c r="G51" s="19"/>
      <c r="H51" s="15" t="n">
        <f aca="true">IF(F51="",0,IF(F51="Accepted",0,IF(F51="Rejected",0,E51-TODAY())))</f>
        <v>0</v>
      </c>
      <c r="I51" s="15"/>
      <c r="J51" s="15"/>
    </row>
    <row r="52" customFormat="false" ht="15" hidden="false" customHeight="false" outlineLevel="0" collapsed="false">
      <c r="A52" s="15"/>
      <c r="B52" s="15"/>
      <c r="C52" s="15"/>
      <c r="D52" s="15"/>
      <c r="E52" s="17"/>
      <c r="F52" s="15"/>
      <c r="G52" s="19"/>
      <c r="H52" s="15" t="n">
        <f aca="true">IF(F52="",0,IF(F52="Accepted",0,IF(F52="Rejected",0,E52-TODAY())))</f>
        <v>0</v>
      </c>
      <c r="I52" s="15"/>
      <c r="J52" s="15"/>
    </row>
    <row r="53" customFormat="false" ht="15" hidden="false" customHeight="false" outlineLevel="0" collapsed="false">
      <c r="A53" s="15"/>
      <c r="B53" s="15"/>
      <c r="C53" s="15"/>
      <c r="D53" s="15"/>
      <c r="E53" s="17"/>
      <c r="F53" s="15"/>
      <c r="G53" s="19"/>
      <c r="H53" s="15" t="n">
        <f aca="true">IF(F53="",0,IF(F53="Accepted",0,IF(F53="Rejected",0,E53-TODAY())))</f>
        <v>0</v>
      </c>
      <c r="I53" s="15"/>
      <c r="J53" s="15"/>
    </row>
    <row r="54" customFormat="false" ht="15" hidden="false" customHeight="false" outlineLevel="0" collapsed="false">
      <c r="A54" s="15"/>
      <c r="B54" s="15"/>
      <c r="C54" s="15"/>
      <c r="D54" s="15"/>
      <c r="E54" s="17"/>
      <c r="F54" s="15"/>
      <c r="G54" s="19"/>
      <c r="H54" s="15" t="n">
        <f aca="true">IF(F54="",0,IF(F54="Accepted",0,IF(F54="Rejected",0,E54-TODAY())))</f>
        <v>0</v>
      </c>
      <c r="I54" s="15"/>
      <c r="J54" s="15"/>
    </row>
    <row r="55" customFormat="false" ht="15" hidden="false" customHeight="false" outlineLevel="0" collapsed="false">
      <c r="A55" s="15"/>
      <c r="B55" s="15"/>
      <c r="C55" s="15"/>
      <c r="D55" s="15"/>
      <c r="E55" s="17"/>
      <c r="F55" s="15"/>
      <c r="G55" s="19"/>
      <c r="H55" s="15" t="n">
        <f aca="true">IF(F55="",0,IF(F55="Accepted",0,IF(F55="Rejected",0,E55-TODAY())))</f>
        <v>0</v>
      </c>
      <c r="I55" s="15"/>
      <c r="J55" s="15"/>
    </row>
    <row r="56" customFormat="false" ht="15" hidden="false" customHeight="false" outlineLevel="0" collapsed="false">
      <c r="A56" s="15"/>
      <c r="B56" s="15"/>
      <c r="C56" s="15"/>
      <c r="D56" s="15"/>
      <c r="E56" s="17"/>
      <c r="F56" s="15"/>
      <c r="G56" s="19"/>
      <c r="H56" s="15" t="n">
        <f aca="true">IF(F56="",0,IF(F56="Accepted",0,IF(F56="Rejected",0,E56-TODAY())))</f>
        <v>0</v>
      </c>
      <c r="I56" s="15"/>
      <c r="J56" s="15"/>
    </row>
    <row r="57" customFormat="false" ht="15" hidden="false" customHeight="false" outlineLevel="0" collapsed="false">
      <c r="A57" s="15"/>
      <c r="B57" s="15"/>
      <c r="C57" s="15"/>
      <c r="D57" s="15"/>
      <c r="E57" s="17"/>
      <c r="F57" s="15"/>
      <c r="G57" s="19"/>
      <c r="H57" s="15" t="n">
        <f aca="true">IF(F57="",0,IF(F57="Accepted",0,IF(F57="Rejected",0,E57-TODAY())))</f>
        <v>0</v>
      </c>
      <c r="I57" s="15"/>
      <c r="J57" s="15"/>
    </row>
    <row r="58" customFormat="false" ht="15" hidden="false" customHeight="false" outlineLevel="0" collapsed="false">
      <c r="A58" s="15"/>
      <c r="B58" s="15"/>
      <c r="C58" s="15"/>
      <c r="D58" s="15"/>
      <c r="E58" s="17"/>
      <c r="F58" s="15"/>
      <c r="G58" s="19"/>
      <c r="H58" s="15" t="n">
        <f aca="true">IF(F58="",0,IF(F58="Accepted",0,IF(F58="Rejected",0,E58-TODAY())))</f>
        <v>0</v>
      </c>
      <c r="I58" s="15"/>
      <c r="J58" s="15"/>
    </row>
    <row r="59" customFormat="false" ht="15" hidden="false" customHeight="false" outlineLevel="0" collapsed="false">
      <c r="A59" s="15"/>
      <c r="B59" s="15"/>
      <c r="C59" s="15"/>
      <c r="D59" s="15"/>
      <c r="E59" s="17"/>
      <c r="F59" s="15"/>
      <c r="G59" s="19"/>
      <c r="H59" s="15" t="n">
        <f aca="true">IF(F59="",0,IF(F59="Accepted",0,IF(F59="Rejected",0,E59-TODAY())))</f>
        <v>0</v>
      </c>
      <c r="I59" s="15"/>
      <c r="J59" s="15"/>
    </row>
    <row r="60" customFormat="false" ht="15" hidden="false" customHeight="false" outlineLevel="0" collapsed="false">
      <c r="A60" s="15"/>
      <c r="B60" s="15"/>
      <c r="C60" s="15"/>
      <c r="D60" s="15"/>
      <c r="E60" s="17"/>
      <c r="F60" s="15"/>
      <c r="G60" s="19"/>
      <c r="H60" s="15" t="n">
        <f aca="true">IF(F60="",0,IF(F60="Accepted",0,IF(F60="Rejected",0,E60-TODAY())))</f>
        <v>0</v>
      </c>
      <c r="I60" s="15"/>
      <c r="J60" s="15"/>
    </row>
    <row r="61" customFormat="false" ht="15" hidden="false" customHeight="false" outlineLevel="0" collapsed="false">
      <c r="A61" s="15"/>
      <c r="B61" s="15"/>
      <c r="C61" s="15"/>
      <c r="D61" s="15"/>
      <c r="E61" s="17"/>
      <c r="F61" s="15"/>
      <c r="G61" s="19"/>
      <c r="H61" s="15" t="n">
        <f aca="true">IF(F61="",0,IF(F61="Accepted",0,IF(F61="Rejected",0,E61-TODAY())))</f>
        <v>0</v>
      </c>
      <c r="I61" s="15"/>
      <c r="J61" s="15"/>
    </row>
    <row r="62" customFormat="false" ht="15" hidden="false" customHeight="false" outlineLevel="0" collapsed="false">
      <c r="A62" s="15"/>
      <c r="B62" s="15"/>
      <c r="C62" s="15"/>
      <c r="D62" s="15"/>
      <c r="E62" s="17"/>
      <c r="F62" s="15"/>
      <c r="G62" s="19"/>
      <c r="H62" s="15" t="n">
        <f aca="true">IF(F62="",0,IF(F62="Accepted",0,IF(F62="Rejected",0,E62-TODAY())))</f>
        <v>0</v>
      </c>
      <c r="I62" s="15"/>
      <c r="J62" s="15"/>
    </row>
    <row r="63" customFormat="false" ht="15" hidden="false" customHeight="false" outlineLevel="0" collapsed="false">
      <c r="A63" s="15"/>
      <c r="B63" s="15"/>
      <c r="C63" s="15"/>
      <c r="D63" s="15"/>
      <c r="E63" s="17"/>
      <c r="F63" s="15"/>
      <c r="G63" s="19"/>
      <c r="H63" s="15" t="n">
        <f aca="true">IF(F63="",0,IF(F63="Accepted",0,IF(F63="Rejected",0,E63-TODAY())))</f>
        <v>0</v>
      </c>
      <c r="I63" s="15"/>
      <c r="J63" s="15"/>
    </row>
    <row r="64" customFormat="false" ht="15" hidden="false" customHeight="false" outlineLevel="0" collapsed="false">
      <c r="A64" s="15"/>
      <c r="B64" s="15"/>
      <c r="C64" s="15"/>
      <c r="D64" s="15"/>
      <c r="E64" s="17"/>
      <c r="F64" s="15"/>
      <c r="G64" s="19"/>
      <c r="H64" s="15" t="n">
        <f aca="true">IF(F64="",0,IF(F64="Accepted",0,IF(F64="Rejected",0,E64-TODAY())))</f>
        <v>0</v>
      </c>
      <c r="I64" s="15"/>
      <c r="J64" s="15"/>
    </row>
    <row r="65" customFormat="false" ht="15" hidden="false" customHeight="false" outlineLevel="0" collapsed="false">
      <c r="A65" s="15"/>
      <c r="B65" s="15"/>
      <c r="C65" s="15"/>
      <c r="D65" s="15"/>
      <c r="E65" s="17"/>
      <c r="F65" s="15"/>
      <c r="G65" s="19"/>
      <c r="H65" s="15" t="n">
        <f aca="true">IF(F65="",0,IF(F65="Accepted",0,IF(F65="Rejected",0,E65-TODAY())))</f>
        <v>0</v>
      </c>
      <c r="I65" s="15"/>
      <c r="J65" s="15"/>
    </row>
    <row r="66" customFormat="false" ht="15" hidden="false" customHeight="false" outlineLevel="0" collapsed="false">
      <c r="A66" s="15"/>
      <c r="B66" s="15"/>
      <c r="C66" s="15"/>
      <c r="D66" s="15"/>
      <c r="E66" s="17"/>
      <c r="F66" s="15"/>
      <c r="G66" s="19"/>
      <c r="H66" s="15" t="n">
        <f aca="true">IF(F66="",0,IF(F66="Accepted",0,IF(F66="Rejected",0,E66-TODAY())))</f>
        <v>0</v>
      </c>
      <c r="I66" s="15"/>
      <c r="J66" s="15"/>
    </row>
    <row r="67" customFormat="false" ht="15" hidden="false" customHeight="false" outlineLevel="0" collapsed="false">
      <c r="A67" s="15"/>
      <c r="B67" s="15"/>
      <c r="C67" s="15"/>
      <c r="D67" s="15"/>
      <c r="E67" s="17"/>
      <c r="F67" s="15"/>
      <c r="G67" s="19"/>
      <c r="H67" s="15" t="n">
        <f aca="true">IF(F67="",0,IF(F67="Accepted",0,IF(F67="Rejected",0,E67-TODAY())))</f>
        <v>0</v>
      </c>
      <c r="I67" s="15"/>
      <c r="J67" s="15"/>
    </row>
  </sheetData>
  <autoFilter ref="A7:J67"/>
  <mergeCells count="2">
    <mergeCell ref="A1:J1"/>
    <mergeCell ref="A2:J2"/>
  </mergeCells>
  <conditionalFormatting sqref="A8:J67">
    <cfRule type="expression" priority="2" aboveAverage="0" equalAverage="0" bottom="0" percent="0" rank="0" text="" dxfId="8">
      <formula>AND($F8&lt;&gt;"Accepted",$F8&lt;&gt;"Rejected",$F8&lt;&gt;"",$H8&lt;0)</formula>
    </cfRule>
    <cfRule type="expression" priority="3" aboveAverage="0" equalAverage="0" bottom="0" percent="0" rank="0" text="" dxfId="12">
      <formula>AND($F8&lt;&gt;"Accepted",$F8&lt;&gt;"Rejected",$F8&lt;&gt;"",$H8&gt;=0,$H8&lt;=3)</formula>
    </cfRule>
    <cfRule type="expression" priority="4" aboveAverage="0" equalAverage="0" bottom="0" percent="0" rank="0" text="" dxfId="7">
      <formula>$F8="Accepted"</formula>
    </cfRule>
  </conditionalFormatting>
  <dataValidations count="1">
    <dataValidation allowBlank="true" errorStyle="stop" operator="between" showDropDown="false" showErrorMessage="false" showInputMessage="false" sqref="F8:F67" type="list">
      <formula1>DeliverableStatus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4"/>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30"/>
    <col collapsed="false" customWidth="true" hidden="false" outlineLevel="0" max="8" min="8" style="0" width="12"/>
    <col collapsed="false" customWidth="true" hidden="false" outlineLevel="0" max="10" min="9" style="0" width="14"/>
  </cols>
  <sheetData>
    <row r="1" customFormat="false" ht="25.5" hidden="false" customHeight="true" outlineLevel="0" collapsed="false">
      <c r="A1" s="1" t="s">
        <v>165</v>
      </c>
      <c r="B1" s="1"/>
      <c r="C1" s="1"/>
      <c r="D1" s="1"/>
      <c r="E1" s="1"/>
      <c r="F1" s="1"/>
      <c r="G1" s="1"/>
      <c r="H1" s="1"/>
      <c r="I1" s="1"/>
      <c r="J1" s="1"/>
    </row>
    <row r="2" customFormat="false" ht="15.75" hidden="false" customHeight="true" outlineLevel="0" collapsed="false">
      <c r="A2" s="2" t="s">
        <v>166</v>
      </c>
      <c r="B2" s="2"/>
      <c r="C2" s="2"/>
      <c r="D2" s="2"/>
      <c r="E2" s="2"/>
      <c r="F2" s="2"/>
      <c r="G2" s="2"/>
      <c r="H2" s="2"/>
      <c r="I2" s="2"/>
      <c r="J2" s="2"/>
    </row>
    <row r="3" customFormat="false" ht="15" hidden="false" customHeight="false" outlineLevel="0" collapsed="false">
      <c r="J3" s="3" t="s">
        <v>105</v>
      </c>
    </row>
    <row r="4" customFormat="false" ht="15" hidden="false" customHeight="false" outlineLevel="0" collapsed="false">
      <c r="J4" s="4" t="s">
        <v>120</v>
      </c>
      <c r="K4" s="0" t="n">
        <f aca="false">COUNTIFS(H8:H67,"Open")+COUNTIFS(H8:H67,"Monitoring")</f>
        <v>4</v>
      </c>
    </row>
    <row r="5" customFormat="false" ht="15" hidden="false" customHeight="false" outlineLevel="0" collapsed="false">
      <c r="J5" s="4" t="s">
        <v>167</v>
      </c>
      <c r="K5" s="0" t="n">
        <f aca="false">COUNTIFS(F8:F67,"High",H8:H67,"&lt;&gt;Closed",H8:H67,"&lt;&gt;")</f>
        <v>2</v>
      </c>
    </row>
    <row r="6" customFormat="false" ht="15" hidden="false" customHeight="false" outlineLevel="0" collapsed="false">
      <c r="J6" s="4" t="s">
        <v>108</v>
      </c>
      <c r="K6" s="0" t="n">
        <f aca="false">COUNTIF(H8:H67,"Closed")</f>
        <v>0</v>
      </c>
    </row>
    <row r="7" customFormat="false" ht="23.85" hidden="false" customHeight="false" outlineLevel="0" collapsed="false">
      <c r="A7" s="10" t="s">
        <v>168</v>
      </c>
      <c r="B7" s="10" t="s">
        <v>83</v>
      </c>
      <c r="C7" s="10" t="s">
        <v>169</v>
      </c>
      <c r="D7" s="10" t="s">
        <v>36</v>
      </c>
      <c r="E7" s="10" t="s">
        <v>170</v>
      </c>
      <c r="F7" s="10" t="s">
        <v>171</v>
      </c>
      <c r="G7" s="10" t="s">
        <v>172</v>
      </c>
      <c r="H7" s="10" t="s">
        <v>88</v>
      </c>
      <c r="I7" s="10" t="s">
        <v>173</v>
      </c>
      <c r="J7" s="10" t="s">
        <v>174</v>
      </c>
    </row>
    <row r="8" customFormat="false" ht="20.85" hidden="false" customHeight="false" outlineLevel="0" collapsed="false">
      <c r="A8" s="13" t="s">
        <v>121</v>
      </c>
      <c r="B8" s="13" t="s">
        <v>175</v>
      </c>
      <c r="C8" s="13" t="s">
        <v>176</v>
      </c>
      <c r="D8" s="13" t="s">
        <v>118</v>
      </c>
      <c r="E8" s="13" t="s">
        <v>132</v>
      </c>
      <c r="F8" s="13" t="s">
        <v>119</v>
      </c>
      <c r="G8" s="13" t="s">
        <v>177</v>
      </c>
      <c r="H8" s="13" t="s">
        <v>120</v>
      </c>
      <c r="I8" s="14" t="n">
        <f aca="true">TODAY()-12</f>
        <v>46209</v>
      </c>
      <c r="J8" s="14"/>
    </row>
    <row r="9" customFormat="false" ht="20.85" hidden="false" customHeight="false" outlineLevel="0" collapsed="false">
      <c r="A9" s="13" t="s">
        <v>127</v>
      </c>
      <c r="B9" s="13" t="s">
        <v>178</v>
      </c>
      <c r="C9" s="13" t="s">
        <v>179</v>
      </c>
      <c r="D9" s="13" t="s">
        <v>125</v>
      </c>
      <c r="E9" s="13" t="s">
        <v>180</v>
      </c>
      <c r="F9" s="13" t="s">
        <v>119</v>
      </c>
      <c r="G9" s="13" t="s">
        <v>181</v>
      </c>
      <c r="H9" s="13" t="s">
        <v>120</v>
      </c>
      <c r="I9" s="14" t="n">
        <f aca="true">TODAY()-6</f>
        <v>46215</v>
      </c>
      <c r="J9" s="14"/>
    </row>
    <row r="10" customFormat="false" ht="20.85" hidden="false" customHeight="false" outlineLevel="0" collapsed="false">
      <c r="A10" s="13" t="s">
        <v>182</v>
      </c>
      <c r="B10" s="13" t="s">
        <v>183</v>
      </c>
      <c r="C10" s="13" t="s">
        <v>184</v>
      </c>
      <c r="D10" s="13" t="s">
        <v>131</v>
      </c>
      <c r="E10" s="13" t="s">
        <v>180</v>
      </c>
      <c r="F10" s="13" t="s">
        <v>132</v>
      </c>
      <c r="G10" s="13" t="s">
        <v>185</v>
      </c>
      <c r="H10" s="13" t="s">
        <v>186</v>
      </c>
      <c r="I10" s="14" t="n">
        <f aca="true">TODAY()-9</f>
        <v>46212</v>
      </c>
      <c r="J10" s="14"/>
    </row>
    <row r="11" customFormat="false" ht="20.85" hidden="false" customHeight="false" outlineLevel="0" collapsed="false">
      <c r="A11" s="13" t="s">
        <v>187</v>
      </c>
      <c r="B11" s="13" t="s">
        <v>188</v>
      </c>
      <c r="C11" s="13" t="s">
        <v>189</v>
      </c>
      <c r="D11" s="13" t="s">
        <v>140</v>
      </c>
      <c r="E11" s="13" t="s">
        <v>132</v>
      </c>
      <c r="F11" s="13" t="s">
        <v>132</v>
      </c>
      <c r="G11" s="13" t="s">
        <v>190</v>
      </c>
      <c r="H11" s="13" t="s">
        <v>120</v>
      </c>
      <c r="I11" s="14" t="n">
        <f aca="true">TODAY()-4</f>
        <v>46217</v>
      </c>
      <c r="J11" s="14"/>
    </row>
    <row r="12" customFormat="false" ht="15" hidden="false" customHeight="false" outlineLevel="0" collapsed="false">
      <c r="A12" s="15"/>
      <c r="B12" s="15"/>
      <c r="C12" s="15"/>
      <c r="D12" s="15"/>
      <c r="E12" s="15"/>
      <c r="F12" s="15"/>
      <c r="G12" s="15"/>
      <c r="H12" s="15"/>
      <c r="I12" s="17"/>
      <c r="J12" s="17"/>
    </row>
    <row r="13" customFormat="false" ht="15" hidden="false" customHeight="false" outlineLevel="0" collapsed="false">
      <c r="A13" s="15"/>
      <c r="B13" s="15"/>
      <c r="C13" s="15"/>
      <c r="D13" s="15"/>
      <c r="E13" s="15"/>
      <c r="F13" s="15"/>
      <c r="G13" s="15"/>
      <c r="H13" s="15"/>
      <c r="I13" s="17"/>
      <c r="J13" s="17"/>
    </row>
    <row r="14" customFormat="false" ht="15" hidden="false" customHeight="false" outlineLevel="0" collapsed="false">
      <c r="A14" s="15"/>
      <c r="B14" s="15"/>
      <c r="C14" s="15"/>
      <c r="D14" s="15"/>
      <c r="E14" s="15"/>
      <c r="F14" s="15"/>
      <c r="G14" s="15"/>
      <c r="H14" s="15"/>
      <c r="I14" s="17"/>
      <c r="J14" s="17"/>
    </row>
    <row r="15" customFormat="false" ht="15" hidden="false" customHeight="false" outlineLevel="0" collapsed="false">
      <c r="A15" s="15"/>
      <c r="B15" s="15"/>
      <c r="C15" s="15"/>
      <c r="D15" s="15"/>
      <c r="E15" s="15"/>
      <c r="F15" s="15"/>
      <c r="G15" s="15"/>
      <c r="H15" s="15"/>
      <c r="I15" s="17"/>
      <c r="J15" s="17"/>
    </row>
    <row r="16" customFormat="false" ht="15" hidden="false" customHeight="false" outlineLevel="0" collapsed="false">
      <c r="A16" s="15"/>
      <c r="B16" s="15"/>
      <c r="C16" s="15"/>
      <c r="D16" s="15"/>
      <c r="E16" s="15"/>
      <c r="F16" s="15"/>
      <c r="G16" s="15"/>
      <c r="H16" s="15"/>
      <c r="I16" s="17"/>
      <c r="J16" s="17"/>
    </row>
    <row r="17" customFormat="false" ht="15" hidden="false" customHeight="false" outlineLevel="0" collapsed="false">
      <c r="A17" s="15"/>
      <c r="B17" s="15"/>
      <c r="C17" s="15"/>
      <c r="D17" s="15"/>
      <c r="E17" s="15"/>
      <c r="F17" s="15"/>
      <c r="G17" s="15"/>
      <c r="H17" s="15"/>
      <c r="I17" s="17"/>
      <c r="J17" s="17"/>
    </row>
    <row r="18" customFormat="false" ht="15" hidden="false" customHeight="false" outlineLevel="0" collapsed="false">
      <c r="A18" s="15"/>
      <c r="B18" s="15"/>
      <c r="C18" s="15"/>
      <c r="D18" s="15"/>
      <c r="E18" s="15"/>
      <c r="F18" s="15"/>
      <c r="G18" s="15"/>
      <c r="H18" s="15"/>
      <c r="I18" s="17"/>
      <c r="J18" s="17"/>
    </row>
    <row r="19" customFormat="false" ht="15" hidden="false" customHeight="false" outlineLevel="0" collapsed="false">
      <c r="A19" s="15"/>
      <c r="B19" s="15"/>
      <c r="C19" s="15"/>
      <c r="D19" s="15"/>
      <c r="E19" s="15"/>
      <c r="F19" s="15"/>
      <c r="G19" s="15"/>
      <c r="H19" s="15"/>
      <c r="I19" s="17"/>
      <c r="J19" s="17"/>
    </row>
    <row r="20" customFormat="false" ht="15" hidden="false" customHeight="false" outlineLevel="0" collapsed="false">
      <c r="A20" s="15"/>
      <c r="B20" s="15"/>
      <c r="C20" s="15"/>
      <c r="D20" s="15"/>
      <c r="E20" s="15"/>
      <c r="F20" s="15"/>
      <c r="G20" s="15"/>
      <c r="H20" s="15"/>
      <c r="I20" s="17"/>
      <c r="J20" s="17"/>
    </row>
    <row r="21" customFormat="false" ht="15" hidden="false" customHeight="false" outlineLevel="0" collapsed="false">
      <c r="A21" s="15"/>
      <c r="B21" s="15"/>
      <c r="C21" s="15"/>
      <c r="D21" s="15"/>
      <c r="E21" s="15"/>
      <c r="F21" s="15"/>
      <c r="G21" s="15"/>
      <c r="H21" s="15"/>
      <c r="I21" s="17"/>
      <c r="J21" s="17"/>
    </row>
    <row r="22" customFormat="false" ht="15" hidden="false" customHeight="false" outlineLevel="0" collapsed="false">
      <c r="A22" s="15"/>
      <c r="B22" s="15"/>
      <c r="C22" s="15"/>
      <c r="D22" s="15"/>
      <c r="E22" s="15"/>
      <c r="F22" s="15"/>
      <c r="G22" s="15"/>
      <c r="H22" s="15"/>
      <c r="I22" s="17"/>
      <c r="J22" s="17"/>
    </row>
    <row r="23" customFormat="false" ht="15" hidden="false" customHeight="false" outlineLevel="0" collapsed="false">
      <c r="A23" s="15"/>
      <c r="B23" s="15"/>
      <c r="C23" s="15"/>
      <c r="D23" s="15"/>
      <c r="E23" s="15"/>
      <c r="F23" s="15"/>
      <c r="G23" s="15"/>
      <c r="H23" s="15"/>
      <c r="I23" s="17"/>
      <c r="J23" s="17"/>
    </row>
    <row r="24" customFormat="false" ht="15" hidden="false" customHeight="false" outlineLevel="0" collapsed="false">
      <c r="A24" s="15"/>
      <c r="B24" s="15"/>
      <c r="C24" s="15"/>
      <c r="D24" s="15"/>
      <c r="E24" s="15"/>
      <c r="F24" s="15"/>
      <c r="G24" s="15"/>
      <c r="H24" s="15"/>
      <c r="I24" s="17"/>
      <c r="J24" s="17"/>
    </row>
    <row r="25" customFormat="false" ht="15" hidden="false" customHeight="false" outlineLevel="0" collapsed="false">
      <c r="A25" s="15"/>
      <c r="B25" s="15"/>
      <c r="C25" s="15"/>
      <c r="D25" s="15"/>
      <c r="E25" s="15"/>
      <c r="F25" s="15"/>
      <c r="G25" s="15"/>
      <c r="H25" s="15"/>
      <c r="I25" s="17"/>
      <c r="J25" s="17"/>
    </row>
    <row r="26" customFormat="false" ht="15" hidden="false" customHeight="false" outlineLevel="0" collapsed="false">
      <c r="A26" s="15"/>
      <c r="B26" s="15"/>
      <c r="C26" s="15"/>
      <c r="D26" s="15"/>
      <c r="E26" s="15"/>
      <c r="F26" s="15"/>
      <c r="G26" s="15"/>
      <c r="H26" s="15"/>
      <c r="I26" s="17"/>
      <c r="J26" s="17"/>
    </row>
    <row r="27" customFormat="false" ht="15" hidden="false" customHeight="false" outlineLevel="0" collapsed="false">
      <c r="A27" s="15"/>
      <c r="B27" s="15"/>
      <c r="C27" s="15"/>
      <c r="D27" s="15"/>
      <c r="E27" s="15"/>
      <c r="F27" s="15"/>
      <c r="G27" s="15"/>
      <c r="H27" s="15"/>
      <c r="I27" s="17"/>
      <c r="J27" s="17"/>
    </row>
    <row r="28" customFormat="false" ht="15" hidden="false" customHeight="false" outlineLevel="0" collapsed="false">
      <c r="A28" s="15"/>
      <c r="B28" s="15"/>
      <c r="C28" s="15"/>
      <c r="D28" s="15"/>
      <c r="E28" s="15"/>
      <c r="F28" s="15"/>
      <c r="G28" s="15"/>
      <c r="H28" s="15"/>
      <c r="I28" s="17"/>
      <c r="J28" s="17"/>
    </row>
    <row r="29" customFormat="false" ht="15" hidden="false" customHeight="false" outlineLevel="0" collapsed="false">
      <c r="A29" s="15"/>
      <c r="B29" s="15"/>
      <c r="C29" s="15"/>
      <c r="D29" s="15"/>
      <c r="E29" s="15"/>
      <c r="F29" s="15"/>
      <c r="G29" s="15"/>
      <c r="H29" s="15"/>
      <c r="I29" s="17"/>
      <c r="J29" s="17"/>
    </row>
    <row r="30" customFormat="false" ht="15" hidden="false" customHeight="false" outlineLevel="0" collapsed="false">
      <c r="A30" s="15"/>
      <c r="B30" s="15"/>
      <c r="C30" s="15"/>
      <c r="D30" s="15"/>
      <c r="E30" s="15"/>
      <c r="F30" s="15"/>
      <c r="G30" s="15"/>
      <c r="H30" s="15"/>
      <c r="I30" s="17"/>
      <c r="J30" s="17"/>
    </row>
    <row r="31" customFormat="false" ht="15" hidden="false" customHeight="false" outlineLevel="0" collapsed="false">
      <c r="A31" s="15"/>
      <c r="B31" s="15"/>
      <c r="C31" s="15"/>
      <c r="D31" s="15"/>
      <c r="E31" s="15"/>
      <c r="F31" s="15"/>
      <c r="G31" s="15"/>
      <c r="H31" s="15"/>
      <c r="I31" s="17"/>
      <c r="J31" s="17"/>
    </row>
    <row r="32" customFormat="false" ht="15" hidden="false" customHeight="false" outlineLevel="0" collapsed="false">
      <c r="A32" s="15"/>
      <c r="B32" s="15"/>
      <c r="C32" s="15"/>
      <c r="D32" s="15"/>
      <c r="E32" s="15"/>
      <c r="F32" s="15"/>
      <c r="G32" s="15"/>
      <c r="H32" s="15"/>
      <c r="I32" s="17"/>
      <c r="J32" s="17"/>
    </row>
    <row r="33" customFormat="false" ht="15" hidden="false" customHeight="false" outlineLevel="0" collapsed="false">
      <c r="A33" s="15"/>
      <c r="B33" s="15"/>
      <c r="C33" s="15"/>
      <c r="D33" s="15"/>
      <c r="E33" s="15"/>
      <c r="F33" s="15"/>
      <c r="G33" s="15"/>
      <c r="H33" s="15"/>
      <c r="I33" s="17"/>
      <c r="J33" s="17"/>
    </row>
    <row r="34" customFormat="false" ht="15" hidden="false" customHeight="false" outlineLevel="0" collapsed="false">
      <c r="A34" s="15"/>
      <c r="B34" s="15"/>
      <c r="C34" s="15"/>
      <c r="D34" s="15"/>
      <c r="E34" s="15"/>
      <c r="F34" s="15"/>
      <c r="G34" s="15"/>
      <c r="H34" s="15"/>
      <c r="I34" s="17"/>
      <c r="J34" s="17"/>
    </row>
    <row r="35" customFormat="false" ht="15" hidden="false" customHeight="false" outlineLevel="0" collapsed="false">
      <c r="A35" s="15"/>
      <c r="B35" s="15"/>
      <c r="C35" s="15"/>
      <c r="D35" s="15"/>
      <c r="E35" s="15"/>
      <c r="F35" s="15"/>
      <c r="G35" s="15"/>
      <c r="H35" s="15"/>
      <c r="I35" s="17"/>
      <c r="J35" s="17"/>
    </row>
    <row r="36" customFormat="false" ht="15" hidden="false" customHeight="false" outlineLevel="0" collapsed="false">
      <c r="A36" s="15"/>
      <c r="B36" s="15"/>
      <c r="C36" s="15"/>
      <c r="D36" s="15"/>
      <c r="E36" s="15"/>
      <c r="F36" s="15"/>
      <c r="G36" s="15"/>
      <c r="H36" s="15"/>
      <c r="I36" s="17"/>
      <c r="J36" s="17"/>
    </row>
    <row r="37" customFormat="false" ht="15" hidden="false" customHeight="false" outlineLevel="0" collapsed="false">
      <c r="A37" s="15"/>
      <c r="B37" s="15"/>
      <c r="C37" s="15"/>
      <c r="D37" s="15"/>
      <c r="E37" s="15"/>
      <c r="F37" s="15"/>
      <c r="G37" s="15"/>
      <c r="H37" s="15"/>
      <c r="I37" s="17"/>
      <c r="J37" s="17"/>
    </row>
    <row r="38" customFormat="false" ht="15" hidden="false" customHeight="false" outlineLevel="0" collapsed="false">
      <c r="A38" s="15"/>
      <c r="B38" s="15"/>
      <c r="C38" s="15"/>
      <c r="D38" s="15"/>
      <c r="E38" s="15"/>
      <c r="F38" s="15"/>
      <c r="G38" s="15"/>
      <c r="H38" s="15"/>
      <c r="I38" s="17"/>
      <c r="J38" s="17"/>
    </row>
    <row r="39" customFormat="false" ht="15" hidden="false" customHeight="false" outlineLevel="0" collapsed="false">
      <c r="A39" s="15"/>
      <c r="B39" s="15"/>
      <c r="C39" s="15"/>
      <c r="D39" s="15"/>
      <c r="E39" s="15"/>
      <c r="F39" s="15"/>
      <c r="G39" s="15"/>
      <c r="H39" s="15"/>
      <c r="I39" s="17"/>
      <c r="J39" s="17"/>
    </row>
    <row r="40" customFormat="false" ht="15" hidden="false" customHeight="false" outlineLevel="0" collapsed="false">
      <c r="A40" s="15"/>
      <c r="B40" s="15"/>
      <c r="C40" s="15"/>
      <c r="D40" s="15"/>
      <c r="E40" s="15"/>
      <c r="F40" s="15"/>
      <c r="G40" s="15"/>
      <c r="H40" s="15"/>
      <c r="I40" s="17"/>
      <c r="J40" s="17"/>
    </row>
    <row r="41" customFormat="false" ht="15" hidden="false" customHeight="false" outlineLevel="0" collapsed="false">
      <c r="A41" s="15"/>
      <c r="B41" s="15"/>
      <c r="C41" s="15"/>
      <c r="D41" s="15"/>
      <c r="E41" s="15"/>
      <c r="F41" s="15"/>
      <c r="G41" s="15"/>
      <c r="H41" s="15"/>
      <c r="I41" s="17"/>
      <c r="J41" s="17"/>
    </row>
    <row r="42" customFormat="false" ht="15" hidden="false" customHeight="false" outlineLevel="0" collapsed="false">
      <c r="A42" s="15"/>
      <c r="B42" s="15"/>
      <c r="C42" s="15"/>
      <c r="D42" s="15"/>
      <c r="E42" s="15"/>
      <c r="F42" s="15"/>
      <c r="G42" s="15"/>
      <c r="H42" s="15"/>
      <c r="I42" s="17"/>
      <c r="J42" s="17"/>
    </row>
    <row r="43" customFormat="false" ht="15" hidden="false" customHeight="false" outlineLevel="0" collapsed="false">
      <c r="A43" s="15"/>
      <c r="B43" s="15"/>
      <c r="C43" s="15"/>
      <c r="D43" s="15"/>
      <c r="E43" s="15"/>
      <c r="F43" s="15"/>
      <c r="G43" s="15"/>
      <c r="H43" s="15"/>
      <c r="I43" s="17"/>
      <c r="J43" s="17"/>
    </row>
    <row r="44" customFormat="false" ht="15" hidden="false" customHeight="false" outlineLevel="0" collapsed="false">
      <c r="A44" s="15"/>
      <c r="B44" s="15"/>
      <c r="C44" s="15"/>
      <c r="D44" s="15"/>
      <c r="E44" s="15"/>
      <c r="F44" s="15"/>
      <c r="G44" s="15"/>
      <c r="H44" s="15"/>
      <c r="I44" s="17"/>
      <c r="J44" s="17"/>
    </row>
    <row r="45" customFormat="false" ht="15" hidden="false" customHeight="false" outlineLevel="0" collapsed="false">
      <c r="A45" s="15"/>
      <c r="B45" s="15"/>
      <c r="C45" s="15"/>
      <c r="D45" s="15"/>
      <c r="E45" s="15"/>
      <c r="F45" s="15"/>
      <c r="G45" s="15"/>
      <c r="H45" s="15"/>
      <c r="I45" s="17"/>
      <c r="J45" s="17"/>
    </row>
    <row r="46" customFormat="false" ht="15" hidden="false" customHeight="false" outlineLevel="0" collapsed="false">
      <c r="A46" s="15"/>
      <c r="B46" s="15"/>
      <c r="C46" s="15"/>
      <c r="D46" s="15"/>
      <c r="E46" s="15"/>
      <c r="F46" s="15"/>
      <c r="G46" s="15"/>
      <c r="H46" s="15"/>
      <c r="I46" s="17"/>
      <c r="J46" s="17"/>
    </row>
    <row r="47" customFormat="false" ht="15" hidden="false" customHeight="false" outlineLevel="0" collapsed="false">
      <c r="A47" s="15"/>
      <c r="B47" s="15"/>
      <c r="C47" s="15"/>
      <c r="D47" s="15"/>
      <c r="E47" s="15"/>
      <c r="F47" s="15"/>
      <c r="G47" s="15"/>
      <c r="H47" s="15"/>
      <c r="I47" s="17"/>
      <c r="J47" s="17"/>
    </row>
    <row r="48" customFormat="false" ht="15" hidden="false" customHeight="false" outlineLevel="0" collapsed="false">
      <c r="A48" s="15"/>
      <c r="B48" s="15"/>
      <c r="C48" s="15"/>
      <c r="D48" s="15"/>
      <c r="E48" s="15"/>
      <c r="F48" s="15"/>
      <c r="G48" s="15"/>
      <c r="H48" s="15"/>
      <c r="I48" s="17"/>
      <c r="J48" s="17"/>
    </row>
    <row r="49" customFormat="false" ht="15" hidden="false" customHeight="false" outlineLevel="0" collapsed="false">
      <c r="A49" s="15"/>
      <c r="B49" s="15"/>
      <c r="C49" s="15"/>
      <c r="D49" s="15"/>
      <c r="E49" s="15"/>
      <c r="F49" s="15"/>
      <c r="G49" s="15"/>
      <c r="H49" s="15"/>
      <c r="I49" s="17"/>
      <c r="J49" s="17"/>
    </row>
    <row r="50" customFormat="false" ht="15" hidden="false" customHeight="false" outlineLevel="0" collapsed="false">
      <c r="A50" s="15"/>
      <c r="B50" s="15"/>
      <c r="C50" s="15"/>
      <c r="D50" s="15"/>
      <c r="E50" s="15"/>
      <c r="F50" s="15"/>
      <c r="G50" s="15"/>
      <c r="H50" s="15"/>
      <c r="I50" s="17"/>
      <c r="J50" s="17"/>
    </row>
    <row r="51" customFormat="false" ht="15" hidden="false" customHeight="false" outlineLevel="0" collapsed="false">
      <c r="A51" s="15"/>
      <c r="B51" s="15"/>
      <c r="C51" s="15"/>
      <c r="D51" s="15"/>
      <c r="E51" s="15"/>
      <c r="F51" s="15"/>
      <c r="G51" s="15"/>
      <c r="H51" s="15"/>
      <c r="I51" s="17"/>
      <c r="J51" s="17"/>
    </row>
    <row r="52" customFormat="false" ht="15" hidden="false" customHeight="false" outlineLevel="0" collapsed="false">
      <c r="A52" s="15"/>
      <c r="B52" s="15"/>
      <c r="C52" s="15"/>
      <c r="D52" s="15"/>
      <c r="E52" s="15"/>
      <c r="F52" s="15"/>
      <c r="G52" s="15"/>
      <c r="H52" s="15"/>
      <c r="I52" s="17"/>
      <c r="J52" s="17"/>
    </row>
    <row r="53" customFormat="false" ht="15" hidden="false" customHeight="false" outlineLevel="0" collapsed="false">
      <c r="A53" s="15"/>
      <c r="B53" s="15"/>
      <c r="C53" s="15"/>
      <c r="D53" s="15"/>
      <c r="E53" s="15"/>
      <c r="F53" s="15"/>
      <c r="G53" s="15"/>
      <c r="H53" s="15"/>
      <c r="I53" s="17"/>
      <c r="J53" s="17"/>
    </row>
    <row r="54" customFormat="false" ht="15" hidden="false" customHeight="false" outlineLevel="0" collapsed="false">
      <c r="A54" s="15"/>
      <c r="B54" s="15"/>
      <c r="C54" s="15"/>
      <c r="D54" s="15"/>
      <c r="E54" s="15"/>
      <c r="F54" s="15"/>
      <c r="G54" s="15"/>
      <c r="H54" s="15"/>
      <c r="I54" s="17"/>
      <c r="J54" s="17"/>
    </row>
    <row r="55" customFormat="false" ht="15" hidden="false" customHeight="false" outlineLevel="0" collapsed="false">
      <c r="A55" s="15"/>
      <c r="B55" s="15"/>
      <c r="C55" s="15"/>
      <c r="D55" s="15"/>
      <c r="E55" s="15"/>
      <c r="F55" s="15"/>
      <c r="G55" s="15"/>
      <c r="H55" s="15"/>
      <c r="I55" s="17"/>
      <c r="J55" s="17"/>
    </row>
    <row r="56" customFormat="false" ht="15" hidden="false" customHeight="false" outlineLevel="0" collapsed="false">
      <c r="A56" s="15"/>
      <c r="B56" s="15"/>
      <c r="C56" s="15"/>
      <c r="D56" s="15"/>
      <c r="E56" s="15"/>
      <c r="F56" s="15"/>
      <c r="G56" s="15"/>
      <c r="H56" s="15"/>
      <c r="I56" s="17"/>
      <c r="J56" s="17"/>
    </row>
    <row r="57" customFormat="false" ht="15" hidden="false" customHeight="false" outlineLevel="0" collapsed="false">
      <c r="A57" s="15"/>
      <c r="B57" s="15"/>
      <c r="C57" s="15"/>
      <c r="D57" s="15"/>
      <c r="E57" s="15"/>
      <c r="F57" s="15"/>
      <c r="G57" s="15"/>
      <c r="H57" s="15"/>
      <c r="I57" s="17"/>
      <c r="J57" s="17"/>
    </row>
    <row r="58" customFormat="false" ht="15" hidden="false" customHeight="false" outlineLevel="0" collapsed="false">
      <c r="A58" s="15"/>
      <c r="B58" s="15"/>
      <c r="C58" s="15"/>
      <c r="D58" s="15"/>
      <c r="E58" s="15"/>
      <c r="F58" s="15"/>
      <c r="G58" s="15"/>
      <c r="H58" s="15"/>
      <c r="I58" s="17"/>
      <c r="J58" s="17"/>
    </row>
    <row r="59" customFormat="false" ht="15" hidden="false" customHeight="false" outlineLevel="0" collapsed="false">
      <c r="A59" s="15"/>
      <c r="B59" s="15"/>
      <c r="C59" s="15"/>
      <c r="D59" s="15"/>
      <c r="E59" s="15"/>
      <c r="F59" s="15"/>
      <c r="G59" s="15"/>
      <c r="H59" s="15"/>
      <c r="I59" s="17"/>
      <c r="J59" s="17"/>
    </row>
    <row r="60" customFormat="false" ht="15" hidden="false" customHeight="false" outlineLevel="0" collapsed="false">
      <c r="A60" s="15"/>
      <c r="B60" s="15"/>
      <c r="C60" s="15"/>
      <c r="D60" s="15"/>
      <c r="E60" s="15"/>
      <c r="F60" s="15"/>
      <c r="G60" s="15"/>
      <c r="H60" s="15"/>
      <c r="I60" s="17"/>
      <c r="J60" s="17"/>
    </row>
    <row r="61" customFormat="false" ht="15" hidden="false" customHeight="false" outlineLevel="0" collapsed="false">
      <c r="A61" s="15"/>
      <c r="B61" s="15"/>
      <c r="C61" s="15"/>
      <c r="D61" s="15"/>
      <c r="E61" s="15"/>
      <c r="F61" s="15"/>
      <c r="G61" s="15"/>
      <c r="H61" s="15"/>
      <c r="I61" s="17"/>
      <c r="J61" s="17"/>
    </row>
    <row r="62" customFormat="false" ht="15" hidden="false" customHeight="false" outlineLevel="0" collapsed="false">
      <c r="A62" s="15"/>
      <c r="B62" s="15"/>
      <c r="C62" s="15"/>
      <c r="D62" s="15"/>
      <c r="E62" s="15"/>
      <c r="F62" s="15"/>
      <c r="G62" s="15"/>
      <c r="H62" s="15"/>
      <c r="I62" s="17"/>
      <c r="J62" s="17"/>
    </row>
    <row r="63" customFormat="false" ht="15" hidden="false" customHeight="false" outlineLevel="0" collapsed="false">
      <c r="A63" s="15"/>
      <c r="B63" s="15"/>
      <c r="C63" s="15"/>
      <c r="D63" s="15"/>
      <c r="E63" s="15"/>
      <c r="F63" s="15"/>
      <c r="G63" s="15"/>
      <c r="H63" s="15"/>
      <c r="I63" s="17"/>
      <c r="J63" s="17"/>
    </row>
    <row r="64" customFormat="false" ht="15" hidden="false" customHeight="false" outlineLevel="0" collapsed="false">
      <c r="A64" s="15"/>
      <c r="B64" s="15"/>
      <c r="C64" s="15"/>
      <c r="D64" s="15"/>
      <c r="E64" s="15"/>
      <c r="F64" s="15"/>
      <c r="G64" s="15"/>
      <c r="H64" s="15"/>
      <c r="I64" s="17"/>
      <c r="J64" s="17"/>
    </row>
    <row r="65" customFormat="false" ht="15" hidden="false" customHeight="false" outlineLevel="0" collapsed="false">
      <c r="A65" s="15"/>
      <c r="B65" s="15"/>
      <c r="C65" s="15"/>
      <c r="D65" s="15"/>
      <c r="E65" s="15"/>
      <c r="F65" s="15"/>
      <c r="G65" s="15"/>
      <c r="H65" s="15"/>
      <c r="I65" s="17"/>
      <c r="J65" s="17"/>
    </row>
    <row r="66" customFormat="false" ht="15" hidden="false" customHeight="false" outlineLevel="0" collapsed="false">
      <c r="A66" s="15"/>
      <c r="B66" s="15"/>
      <c r="C66" s="15"/>
      <c r="D66" s="15"/>
      <c r="E66" s="15"/>
      <c r="F66" s="15"/>
      <c r="G66" s="15"/>
      <c r="H66" s="15"/>
      <c r="I66" s="17"/>
      <c r="J66" s="17"/>
    </row>
    <row r="67" customFormat="false" ht="15" hidden="false" customHeight="false" outlineLevel="0" collapsed="false">
      <c r="A67" s="15"/>
      <c r="B67" s="15"/>
      <c r="C67" s="15"/>
      <c r="D67" s="15"/>
      <c r="E67" s="15"/>
      <c r="F67" s="15"/>
      <c r="G67" s="15"/>
      <c r="H67" s="15"/>
      <c r="I67" s="17"/>
      <c r="J67" s="17"/>
    </row>
  </sheetData>
  <autoFilter ref="A7:J67"/>
  <mergeCells count="2">
    <mergeCell ref="A1:J1"/>
    <mergeCell ref="A2:J2"/>
  </mergeCells>
  <conditionalFormatting sqref="A8:J67">
    <cfRule type="expression" priority="2" aboveAverage="0" equalAverage="0" bottom="0" percent="0" rank="0" text="" dxfId="8">
      <formula>AND($F8="High",$H8&lt;&gt;"Closed",$H8&lt;&gt;"")</formula>
    </cfRule>
    <cfRule type="expression" priority="3" aboveAverage="0" equalAverage="0" bottom="0" percent="0" rank="0" text="" dxfId="12">
      <formula>AND($F8="Medium",$H8&lt;&gt;"Closed",$H8&lt;&gt;"")</formula>
    </cfRule>
    <cfRule type="expression" priority="4" aboveAverage="0" equalAverage="0" bottom="0" percent="0" rank="0" text="" dxfId="7">
      <formula>$H8="Closed"</formula>
    </cfRule>
  </conditionalFormatting>
  <dataValidations count="4">
    <dataValidation allowBlank="true" errorStyle="stop" operator="between" showDropDown="false" showErrorMessage="false" showInputMessage="false" sqref="B8:B67" type="list">
      <formula1>RAIDType</formula1>
      <formula2>0</formula2>
    </dataValidation>
    <dataValidation allowBlank="true" errorStyle="stop" operator="between" showDropDown="false" showErrorMessage="false" showInputMessage="false" sqref="E8:E67" type="list">
      <formula1>ProbImpact</formula1>
      <formula2>0</formula2>
    </dataValidation>
    <dataValidation allowBlank="true" errorStyle="stop" operator="between" showDropDown="false" showErrorMessage="false" showInputMessage="false" sqref="F8:F67" type="list">
      <formula1>ProbImpact</formula1>
      <formula2>0</formula2>
    </dataValidation>
    <dataValidation allowBlank="true" errorStyle="stop" operator="between" showDropDown="false" showErrorMessage="false" showInputMessage="false" sqref="H8:H67" type="list">
      <formula1>RAIDStatus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13"/>
    <col collapsed="false" customWidth="true" hidden="false" outlineLevel="0" max="8" min="7" style="0" width="26"/>
  </cols>
  <sheetData>
    <row r="1" customFormat="false" ht="25.5" hidden="false" customHeight="true" outlineLevel="0" collapsed="false">
      <c r="A1" s="1" t="s">
        <v>191</v>
      </c>
      <c r="B1" s="1"/>
      <c r="C1" s="1"/>
      <c r="D1" s="1"/>
      <c r="E1" s="1"/>
      <c r="F1" s="1"/>
      <c r="G1" s="1"/>
      <c r="H1" s="1"/>
      <c r="I1" s="1"/>
    </row>
    <row r="2" customFormat="false" ht="15.75" hidden="false" customHeight="true" outlineLevel="0" collapsed="false">
      <c r="A2" s="2" t="s">
        <v>192</v>
      </c>
      <c r="B2" s="2"/>
      <c r="C2" s="2"/>
      <c r="D2" s="2"/>
      <c r="E2" s="2"/>
      <c r="F2" s="2"/>
      <c r="G2" s="2"/>
      <c r="H2" s="2"/>
      <c r="I2" s="2"/>
    </row>
    <row r="3" customFormat="false" ht="15" hidden="false" customHeight="false" outlineLevel="0" collapsed="false">
      <c r="I3" s="3" t="s">
        <v>105</v>
      </c>
    </row>
    <row r="4" customFormat="false" ht="15" hidden="false" customHeight="false" outlineLevel="0" collapsed="false">
      <c r="I4" s="4" t="s">
        <v>101</v>
      </c>
      <c r="J4" s="0" t="n">
        <f aca="false">COUNTIF(E8:E67,"Pending")</f>
        <v>2</v>
      </c>
    </row>
    <row r="5" customFormat="false" ht="15" hidden="false" customHeight="false" outlineLevel="0" collapsed="false">
      <c r="I5" s="4" t="s">
        <v>193</v>
      </c>
      <c r="J5" s="0" t="n">
        <f aca="false">COUNTIF(E8:E67,"Approved")</f>
        <v>1</v>
      </c>
    </row>
    <row r="6" customFormat="false" ht="15" hidden="false" customHeight="false" outlineLevel="0" collapsed="false">
      <c r="I6" s="4" t="s">
        <v>194</v>
      </c>
      <c r="J6" s="0" t="n">
        <f aca="true">COUNTIFS(E8:E67,"Pending",D8:D67,"&lt;"&amp;TODAY())</f>
        <v>0</v>
      </c>
    </row>
    <row r="7" customFormat="false" ht="23.85" hidden="false" customHeight="false" outlineLevel="0" collapsed="false">
      <c r="A7" s="10" t="s">
        <v>195</v>
      </c>
      <c r="B7" s="10" t="s">
        <v>196</v>
      </c>
      <c r="C7" s="10" t="s">
        <v>197</v>
      </c>
      <c r="D7" s="10" t="s">
        <v>198</v>
      </c>
      <c r="E7" s="10" t="s">
        <v>88</v>
      </c>
      <c r="F7" s="10" t="s">
        <v>199</v>
      </c>
      <c r="G7" s="10" t="s">
        <v>200</v>
      </c>
      <c r="H7" s="10" t="s">
        <v>201</v>
      </c>
    </row>
    <row r="8" customFormat="false" ht="20.85" hidden="false" customHeight="false" outlineLevel="0" collapsed="false">
      <c r="A8" s="13" t="s">
        <v>202</v>
      </c>
      <c r="B8" s="13" t="s">
        <v>203</v>
      </c>
      <c r="C8" s="13" t="s">
        <v>51</v>
      </c>
      <c r="D8" s="14" t="n">
        <f aca="true">TODAY()+2</f>
        <v>46223</v>
      </c>
      <c r="E8" s="13" t="s">
        <v>101</v>
      </c>
      <c r="F8" s="14"/>
      <c r="G8" s="13" t="s">
        <v>204</v>
      </c>
      <c r="H8" s="13" t="s">
        <v>205</v>
      </c>
    </row>
    <row r="9" customFormat="false" ht="20.85" hidden="false" customHeight="false" outlineLevel="0" collapsed="false">
      <c r="A9" s="13" t="s">
        <v>206</v>
      </c>
      <c r="B9" s="13" t="s">
        <v>207</v>
      </c>
      <c r="C9" s="13" t="s">
        <v>208</v>
      </c>
      <c r="D9" s="14" t="n">
        <f aca="true">TODAY()+4</f>
        <v>46225</v>
      </c>
      <c r="E9" s="13" t="s">
        <v>101</v>
      </c>
      <c r="F9" s="14"/>
      <c r="G9" s="13" t="s">
        <v>209</v>
      </c>
      <c r="H9" s="13" t="s">
        <v>210</v>
      </c>
    </row>
    <row r="10" customFormat="false" ht="20.85" hidden="false" customHeight="false" outlineLevel="0" collapsed="false">
      <c r="A10" s="13" t="s">
        <v>211</v>
      </c>
      <c r="B10" s="13" t="s">
        <v>212</v>
      </c>
      <c r="C10" s="13" t="s">
        <v>76</v>
      </c>
      <c r="D10" s="14" t="n">
        <f aca="true">TODAY()-5</f>
        <v>46216</v>
      </c>
      <c r="E10" s="13" t="s">
        <v>213</v>
      </c>
      <c r="F10" s="14" t="n">
        <f aca="true">TODAY()-4</f>
        <v>46217</v>
      </c>
      <c r="G10" s="13" t="s">
        <v>214</v>
      </c>
      <c r="H10" s="13" t="s">
        <v>215</v>
      </c>
    </row>
    <row r="11" customFormat="false" ht="15" hidden="false" customHeight="false" outlineLevel="0" collapsed="false">
      <c r="A11" s="15"/>
      <c r="B11" s="15"/>
      <c r="C11" s="15"/>
      <c r="D11" s="17"/>
      <c r="E11" s="15"/>
      <c r="F11" s="17"/>
      <c r="G11" s="15"/>
      <c r="H11" s="15"/>
    </row>
    <row r="12" customFormat="false" ht="15" hidden="false" customHeight="false" outlineLevel="0" collapsed="false">
      <c r="A12" s="15"/>
      <c r="B12" s="15"/>
      <c r="C12" s="15"/>
      <c r="D12" s="17"/>
      <c r="E12" s="15"/>
      <c r="F12" s="17"/>
      <c r="G12" s="15"/>
      <c r="H12" s="15"/>
    </row>
    <row r="13" customFormat="false" ht="15" hidden="false" customHeight="false" outlineLevel="0" collapsed="false">
      <c r="A13" s="15"/>
      <c r="B13" s="15"/>
      <c r="C13" s="15"/>
      <c r="D13" s="17"/>
      <c r="E13" s="15"/>
      <c r="F13" s="17"/>
      <c r="G13" s="15"/>
      <c r="H13" s="15"/>
    </row>
    <row r="14" customFormat="false" ht="15" hidden="false" customHeight="false" outlineLevel="0" collapsed="false">
      <c r="A14" s="15"/>
      <c r="B14" s="15"/>
      <c r="C14" s="15"/>
      <c r="D14" s="17"/>
      <c r="E14" s="15"/>
      <c r="F14" s="17"/>
      <c r="G14" s="15"/>
      <c r="H14" s="15"/>
    </row>
    <row r="15" customFormat="false" ht="15" hidden="false" customHeight="false" outlineLevel="0" collapsed="false">
      <c r="A15" s="15"/>
      <c r="B15" s="15"/>
      <c r="C15" s="15"/>
      <c r="D15" s="17"/>
      <c r="E15" s="15"/>
      <c r="F15" s="17"/>
      <c r="G15" s="15"/>
      <c r="H15" s="15"/>
    </row>
    <row r="16" customFormat="false" ht="15" hidden="false" customHeight="false" outlineLevel="0" collapsed="false">
      <c r="A16" s="15"/>
      <c r="B16" s="15"/>
      <c r="C16" s="15"/>
      <c r="D16" s="17"/>
      <c r="E16" s="15"/>
      <c r="F16" s="17"/>
      <c r="G16" s="15"/>
      <c r="H16" s="15"/>
    </row>
    <row r="17" customFormat="false" ht="15" hidden="false" customHeight="false" outlineLevel="0" collapsed="false">
      <c r="A17" s="15"/>
      <c r="B17" s="15"/>
      <c r="C17" s="15"/>
      <c r="D17" s="17"/>
      <c r="E17" s="15"/>
      <c r="F17" s="17"/>
      <c r="G17" s="15"/>
      <c r="H17" s="15"/>
    </row>
    <row r="18" customFormat="false" ht="15" hidden="false" customHeight="false" outlineLevel="0" collapsed="false">
      <c r="A18" s="15"/>
      <c r="B18" s="15"/>
      <c r="C18" s="15"/>
      <c r="D18" s="17"/>
      <c r="E18" s="15"/>
      <c r="F18" s="17"/>
      <c r="G18" s="15"/>
      <c r="H18" s="15"/>
    </row>
    <row r="19" customFormat="false" ht="15" hidden="false" customHeight="false" outlineLevel="0" collapsed="false">
      <c r="A19" s="15"/>
      <c r="B19" s="15"/>
      <c r="C19" s="15"/>
      <c r="D19" s="17"/>
      <c r="E19" s="15"/>
      <c r="F19" s="17"/>
      <c r="G19" s="15"/>
      <c r="H19" s="15"/>
    </row>
    <row r="20" customFormat="false" ht="15" hidden="false" customHeight="false" outlineLevel="0" collapsed="false">
      <c r="A20" s="15"/>
      <c r="B20" s="15"/>
      <c r="C20" s="15"/>
      <c r="D20" s="17"/>
      <c r="E20" s="15"/>
      <c r="F20" s="17"/>
      <c r="G20" s="15"/>
      <c r="H20" s="15"/>
    </row>
    <row r="21" customFormat="false" ht="15" hidden="false" customHeight="false" outlineLevel="0" collapsed="false">
      <c r="A21" s="15"/>
      <c r="B21" s="15"/>
      <c r="C21" s="15"/>
      <c r="D21" s="17"/>
      <c r="E21" s="15"/>
      <c r="F21" s="17"/>
      <c r="G21" s="15"/>
      <c r="H21" s="15"/>
    </row>
    <row r="22" customFormat="false" ht="15" hidden="false" customHeight="false" outlineLevel="0" collapsed="false">
      <c r="A22" s="15"/>
      <c r="B22" s="15"/>
      <c r="C22" s="15"/>
      <c r="D22" s="17"/>
      <c r="E22" s="15"/>
      <c r="F22" s="17"/>
      <c r="G22" s="15"/>
      <c r="H22" s="15"/>
    </row>
    <row r="23" customFormat="false" ht="15" hidden="false" customHeight="false" outlineLevel="0" collapsed="false">
      <c r="A23" s="15"/>
      <c r="B23" s="15"/>
      <c r="C23" s="15"/>
      <c r="D23" s="17"/>
      <c r="E23" s="15"/>
      <c r="F23" s="17"/>
      <c r="G23" s="15"/>
      <c r="H23" s="15"/>
    </row>
    <row r="24" customFormat="false" ht="15" hidden="false" customHeight="false" outlineLevel="0" collapsed="false">
      <c r="A24" s="15"/>
      <c r="B24" s="15"/>
      <c r="C24" s="15"/>
      <c r="D24" s="17"/>
      <c r="E24" s="15"/>
      <c r="F24" s="17"/>
      <c r="G24" s="15"/>
      <c r="H24" s="15"/>
    </row>
    <row r="25" customFormat="false" ht="15" hidden="false" customHeight="false" outlineLevel="0" collapsed="false">
      <c r="A25" s="15"/>
      <c r="B25" s="15"/>
      <c r="C25" s="15"/>
      <c r="D25" s="17"/>
      <c r="E25" s="15"/>
      <c r="F25" s="17"/>
      <c r="G25" s="15"/>
      <c r="H25" s="15"/>
    </row>
    <row r="26" customFormat="false" ht="15" hidden="false" customHeight="false" outlineLevel="0" collapsed="false">
      <c r="A26" s="15"/>
      <c r="B26" s="15"/>
      <c r="C26" s="15"/>
      <c r="D26" s="17"/>
      <c r="E26" s="15"/>
      <c r="F26" s="17"/>
      <c r="G26" s="15"/>
      <c r="H26" s="15"/>
    </row>
    <row r="27" customFormat="false" ht="15" hidden="false" customHeight="false" outlineLevel="0" collapsed="false">
      <c r="A27" s="15"/>
      <c r="B27" s="15"/>
      <c r="C27" s="15"/>
      <c r="D27" s="17"/>
      <c r="E27" s="15"/>
      <c r="F27" s="17"/>
      <c r="G27" s="15"/>
      <c r="H27" s="15"/>
    </row>
    <row r="28" customFormat="false" ht="15" hidden="false" customHeight="false" outlineLevel="0" collapsed="false">
      <c r="A28" s="15"/>
      <c r="B28" s="15"/>
      <c r="C28" s="15"/>
      <c r="D28" s="17"/>
      <c r="E28" s="15"/>
      <c r="F28" s="17"/>
      <c r="G28" s="15"/>
      <c r="H28" s="15"/>
    </row>
    <row r="29" customFormat="false" ht="15" hidden="false" customHeight="false" outlineLevel="0" collapsed="false">
      <c r="A29" s="15"/>
      <c r="B29" s="15"/>
      <c r="C29" s="15"/>
      <c r="D29" s="17"/>
      <c r="E29" s="15"/>
      <c r="F29" s="17"/>
      <c r="G29" s="15"/>
      <c r="H29" s="15"/>
    </row>
    <row r="30" customFormat="false" ht="15" hidden="false" customHeight="false" outlineLevel="0" collapsed="false">
      <c r="A30" s="15"/>
      <c r="B30" s="15"/>
      <c r="C30" s="15"/>
      <c r="D30" s="17"/>
      <c r="E30" s="15"/>
      <c r="F30" s="17"/>
      <c r="G30" s="15"/>
      <c r="H30" s="15"/>
    </row>
    <row r="31" customFormat="false" ht="15" hidden="false" customHeight="false" outlineLevel="0" collapsed="false">
      <c r="A31" s="15"/>
      <c r="B31" s="15"/>
      <c r="C31" s="15"/>
      <c r="D31" s="17"/>
      <c r="E31" s="15"/>
      <c r="F31" s="17"/>
      <c r="G31" s="15"/>
      <c r="H31" s="15"/>
    </row>
    <row r="32" customFormat="false" ht="15" hidden="false" customHeight="false" outlineLevel="0" collapsed="false">
      <c r="A32" s="15"/>
      <c r="B32" s="15"/>
      <c r="C32" s="15"/>
      <c r="D32" s="17"/>
      <c r="E32" s="15"/>
      <c r="F32" s="17"/>
      <c r="G32" s="15"/>
      <c r="H32" s="15"/>
    </row>
    <row r="33" customFormat="false" ht="15" hidden="false" customHeight="false" outlineLevel="0" collapsed="false">
      <c r="A33" s="15"/>
      <c r="B33" s="15"/>
      <c r="C33" s="15"/>
      <c r="D33" s="17"/>
      <c r="E33" s="15"/>
      <c r="F33" s="17"/>
      <c r="G33" s="15"/>
      <c r="H33" s="15"/>
    </row>
    <row r="34" customFormat="false" ht="15" hidden="false" customHeight="false" outlineLevel="0" collapsed="false">
      <c r="A34" s="15"/>
      <c r="B34" s="15"/>
      <c r="C34" s="15"/>
      <c r="D34" s="17"/>
      <c r="E34" s="15"/>
      <c r="F34" s="17"/>
      <c r="G34" s="15"/>
      <c r="H34" s="15"/>
    </row>
    <row r="35" customFormat="false" ht="15" hidden="false" customHeight="false" outlineLevel="0" collapsed="false">
      <c r="A35" s="15"/>
      <c r="B35" s="15"/>
      <c r="C35" s="15"/>
      <c r="D35" s="17"/>
      <c r="E35" s="15"/>
      <c r="F35" s="17"/>
      <c r="G35" s="15"/>
      <c r="H35" s="15"/>
    </row>
    <row r="36" customFormat="false" ht="15" hidden="false" customHeight="false" outlineLevel="0" collapsed="false">
      <c r="A36" s="15"/>
      <c r="B36" s="15"/>
      <c r="C36" s="15"/>
      <c r="D36" s="17"/>
      <c r="E36" s="15"/>
      <c r="F36" s="17"/>
      <c r="G36" s="15"/>
      <c r="H36" s="15"/>
    </row>
    <row r="37" customFormat="false" ht="15" hidden="false" customHeight="false" outlineLevel="0" collapsed="false">
      <c r="A37" s="15"/>
      <c r="B37" s="15"/>
      <c r="C37" s="15"/>
      <c r="D37" s="17"/>
      <c r="E37" s="15"/>
      <c r="F37" s="17"/>
      <c r="G37" s="15"/>
      <c r="H37" s="15"/>
    </row>
    <row r="38" customFormat="false" ht="15" hidden="false" customHeight="false" outlineLevel="0" collapsed="false">
      <c r="A38" s="15"/>
      <c r="B38" s="15"/>
      <c r="C38" s="15"/>
      <c r="D38" s="17"/>
      <c r="E38" s="15"/>
      <c r="F38" s="17"/>
      <c r="G38" s="15"/>
      <c r="H38" s="15"/>
    </row>
    <row r="39" customFormat="false" ht="15" hidden="false" customHeight="false" outlineLevel="0" collapsed="false">
      <c r="A39" s="15"/>
      <c r="B39" s="15"/>
      <c r="C39" s="15"/>
      <c r="D39" s="17"/>
      <c r="E39" s="15"/>
      <c r="F39" s="17"/>
      <c r="G39" s="15"/>
      <c r="H39" s="15"/>
    </row>
    <row r="40" customFormat="false" ht="15" hidden="false" customHeight="false" outlineLevel="0" collapsed="false">
      <c r="A40" s="15"/>
      <c r="B40" s="15"/>
      <c r="C40" s="15"/>
      <c r="D40" s="17"/>
      <c r="E40" s="15"/>
      <c r="F40" s="17"/>
      <c r="G40" s="15"/>
      <c r="H40" s="15"/>
    </row>
    <row r="41" customFormat="false" ht="15" hidden="false" customHeight="false" outlineLevel="0" collapsed="false">
      <c r="A41" s="15"/>
      <c r="B41" s="15"/>
      <c r="C41" s="15"/>
      <c r="D41" s="17"/>
      <c r="E41" s="15"/>
      <c r="F41" s="17"/>
      <c r="G41" s="15"/>
      <c r="H41" s="15"/>
    </row>
    <row r="42" customFormat="false" ht="15" hidden="false" customHeight="false" outlineLevel="0" collapsed="false">
      <c r="A42" s="15"/>
      <c r="B42" s="15"/>
      <c r="C42" s="15"/>
      <c r="D42" s="17"/>
      <c r="E42" s="15"/>
      <c r="F42" s="17"/>
      <c r="G42" s="15"/>
      <c r="H42" s="15"/>
    </row>
    <row r="43" customFormat="false" ht="15" hidden="false" customHeight="false" outlineLevel="0" collapsed="false">
      <c r="A43" s="15"/>
      <c r="B43" s="15"/>
      <c r="C43" s="15"/>
      <c r="D43" s="17"/>
      <c r="E43" s="15"/>
      <c r="F43" s="17"/>
      <c r="G43" s="15"/>
      <c r="H43" s="15"/>
    </row>
    <row r="44" customFormat="false" ht="15" hidden="false" customHeight="false" outlineLevel="0" collapsed="false">
      <c r="A44" s="15"/>
      <c r="B44" s="15"/>
      <c r="C44" s="15"/>
      <c r="D44" s="17"/>
      <c r="E44" s="15"/>
      <c r="F44" s="17"/>
      <c r="G44" s="15"/>
      <c r="H44" s="15"/>
    </row>
    <row r="45" customFormat="false" ht="15" hidden="false" customHeight="false" outlineLevel="0" collapsed="false">
      <c r="A45" s="15"/>
      <c r="B45" s="15"/>
      <c r="C45" s="15"/>
      <c r="D45" s="17"/>
      <c r="E45" s="15"/>
      <c r="F45" s="17"/>
      <c r="G45" s="15"/>
      <c r="H45" s="15"/>
    </row>
    <row r="46" customFormat="false" ht="15" hidden="false" customHeight="false" outlineLevel="0" collapsed="false">
      <c r="A46" s="15"/>
      <c r="B46" s="15"/>
      <c r="C46" s="15"/>
      <c r="D46" s="17"/>
      <c r="E46" s="15"/>
      <c r="F46" s="17"/>
      <c r="G46" s="15"/>
      <c r="H46" s="15"/>
    </row>
    <row r="47" customFormat="false" ht="15" hidden="false" customHeight="false" outlineLevel="0" collapsed="false">
      <c r="A47" s="15"/>
      <c r="B47" s="15"/>
      <c r="C47" s="15"/>
      <c r="D47" s="17"/>
      <c r="E47" s="15"/>
      <c r="F47" s="17"/>
      <c r="G47" s="15"/>
      <c r="H47" s="15"/>
    </row>
    <row r="48" customFormat="false" ht="15" hidden="false" customHeight="false" outlineLevel="0" collapsed="false">
      <c r="A48" s="15"/>
      <c r="B48" s="15"/>
      <c r="C48" s="15"/>
      <c r="D48" s="17"/>
      <c r="E48" s="15"/>
      <c r="F48" s="17"/>
      <c r="G48" s="15"/>
      <c r="H48" s="15"/>
    </row>
    <row r="49" customFormat="false" ht="15" hidden="false" customHeight="false" outlineLevel="0" collapsed="false">
      <c r="A49" s="15"/>
      <c r="B49" s="15"/>
      <c r="C49" s="15"/>
      <c r="D49" s="17"/>
      <c r="E49" s="15"/>
      <c r="F49" s="17"/>
      <c r="G49" s="15"/>
      <c r="H49" s="15"/>
    </row>
    <row r="50" customFormat="false" ht="15" hidden="false" customHeight="false" outlineLevel="0" collapsed="false">
      <c r="A50" s="15"/>
      <c r="B50" s="15"/>
      <c r="C50" s="15"/>
      <c r="D50" s="17"/>
      <c r="E50" s="15"/>
      <c r="F50" s="17"/>
      <c r="G50" s="15"/>
      <c r="H50" s="15"/>
    </row>
    <row r="51" customFormat="false" ht="15" hidden="false" customHeight="false" outlineLevel="0" collapsed="false">
      <c r="A51" s="15"/>
      <c r="B51" s="15"/>
      <c r="C51" s="15"/>
      <c r="D51" s="17"/>
      <c r="E51" s="15"/>
      <c r="F51" s="17"/>
      <c r="G51" s="15"/>
      <c r="H51" s="15"/>
    </row>
    <row r="52" customFormat="false" ht="15" hidden="false" customHeight="false" outlineLevel="0" collapsed="false">
      <c r="A52" s="15"/>
      <c r="B52" s="15"/>
      <c r="C52" s="15"/>
      <c r="D52" s="17"/>
      <c r="E52" s="15"/>
      <c r="F52" s="17"/>
      <c r="G52" s="15"/>
      <c r="H52" s="15"/>
    </row>
    <row r="53" customFormat="false" ht="15" hidden="false" customHeight="false" outlineLevel="0" collapsed="false">
      <c r="A53" s="15"/>
      <c r="B53" s="15"/>
      <c r="C53" s="15"/>
      <c r="D53" s="17"/>
      <c r="E53" s="15"/>
      <c r="F53" s="17"/>
      <c r="G53" s="15"/>
      <c r="H53" s="15"/>
    </row>
    <row r="54" customFormat="false" ht="15" hidden="false" customHeight="false" outlineLevel="0" collapsed="false">
      <c r="A54" s="15"/>
      <c r="B54" s="15"/>
      <c r="C54" s="15"/>
      <c r="D54" s="17"/>
      <c r="E54" s="15"/>
      <c r="F54" s="17"/>
      <c r="G54" s="15"/>
      <c r="H54" s="15"/>
    </row>
    <row r="55" customFormat="false" ht="15" hidden="false" customHeight="false" outlineLevel="0" collapsed="false">
      <c r="A55" s="15"/>
      <c r="B55" s="15"/>
      <c r="C55" s="15"/>
      <c r="D55" s="17"/>
      <c r="E55" s="15"/>
      <c r="F55" s="17"/>
      <c r="G55" s="15"/>
      <c r="H55" s="15"/>
    </row>
    <row r="56" customFormat="false" ht="15" hidden="false" customHeight="false" outlineLevel="0" collapsed="false">
      <c r="A56" s="15"/>
      <c r="B56" s="15"/>
      <c r="C56" s="15"/>
      <c r="D56" s="17"/>
      <c r="E56" s="15"/>
      <c r="F56" s="17"/>
      <c r="G56" s="15"/>
      <c r="H56" s="15"/>
    </row>
    <row r="57" customFormat="false" ht="15" hidden="false" customHeight="false" outlineLevel="0" collapsed="false">
      <c r="A57" s="15"/>
      <c r="B57" s="15"/>
      <c r="C57" s="15"/>
      <c r="D57" s="17"/>
      <c r="E57" s="15"/>
      <c r="F57" s="17"/>
      <c r="G57" s="15"/>
      <c r="H57" s="15"/>
    </row>
    <row r="58" customFormat="false" ht="15" hidden="false" customHeight="false" outlineLevel="0" collapsed="false">
      <c r="A58" s="15"/>
      <c r="B58" s="15"/>
      <c r="C58" s="15"/>
      <c r="D58" s="17"/>
      <c r="E58" s="15"/>
      <c r="F58" s="17"/>
      <c r="G58" s="15"/>
      <c r="H58" s="15"/>
    </row>
    <row r="59" customFormat="false" ht="15" hidden="false" customHeight="false" outlineLevel="0" collapsed="false">
      <c r="A59" s="15"/>
      <c r="B59" s="15"/>
      <c r="C59" s="15"/>
      <c r="D59" s="17"/>
      <c r="E59" s="15"/>
      <c r="F59" s="17"/>
      <c r="G59" s="15"/>
      <c r="H59" s="15"/>
    </row>
    <row r="60" customFormat="false" ht="15" hidden="false" customHeight="false" outlineLevel="0" collapsed="false">
      <c r="A60" s="15"/>
      <c r="B60" s="15"/>
      <c r="C60" s="15"/>
      <c r="D60" s="17"/>
      <c r="E60" s="15"/>
      <c r="F60" s="17"/>
      <c r="G60" s="15"/>
      <c r="H60" s="15"/>
    </row>
    <row r="61" customFormat="false" ht="15" hidden="false" customHeight="false" outlineLevel="0" collapsed="false">
      <c r="A61" s="15"/>
      <c r="B61" s="15"/>
      <c r="C61" s="15"/>
      <c r="D61" s="17"/>
      <c r="E61" s="15"/>
      <c r="F61" s="17"/>
      <c r="G61" s="15"/>
      <c r="H61" s="15"/>
    </row>
    <row r="62" customFormat="false" ht="15" hidden="false" customHeight="false" outlineLevel="0" collapsed="false">
      <c r="A62" s="15"/>
      <c r="B62" s="15"/>
      <c r="C62" s="15"/>
      <c r="D62" s="17"/>
      <c r="E62" s="15"/>
      <c r="F62" s="17"/>
      <c r="G62" s="15"/>
      <c r="H62" s="15"/>
    </row>
    <row r="63" customFormat="false" ht="15" hidden="false" customHeight="false" outlineLevel="0" collapsed="false">
      <c r="A63" s="15"/>
      <c r="B63" s="15"/>
      <c r="C63" s="15"/>
      <c r="D63" s="17"/>
      <c r="E63" s="15"/>
      <c r="F63" s="17"/>
      <c r="G63" s="15"/>
      <c r="H63" s="15"/>
    </row>
    <row r="64" customFormat="false" ht="15" hidden="false" customHeight="false" outlineLevel="0" collapsed="false">
      <c r="A64" s="15"/>
      <c r="B64" s="15"/>
      <c r="C64" s="15"/>
      <c r="D64" s="17"/>
      <c r="E64" s="15"/>
      <c r="F64" s="17"/>
      <c r="G64" s="15"/>
      <c r="H64" s="15"/>
    </row>
    <row r="65" customFormat="false" ht="15" hidden="false" customHeight="false" outlineLevel="0" collapsed="false">
      <c r="A65" s="15"/>
      <c r="B65" s="15"/>
      <c r="C65" s="15"/>
      <c r="D65" s="17"/>
      <c r="E65" s="15"/>
      <c r="F65" s="17"/>
      <c r="G65" s="15"/>
      <c r="H65" s="15"/>
    </row>
    <row r="66" customFormat="false" ht="15" hidden="false" customHeight="false" outlineLevel="0" collapsed="false">
      <c r="A66" s="15"/>
      <c r="B66" s="15"/>
      <c r="C66" s="15"/>
      <c r="D66" s="17"/>
      <c r="E66" s="15"/>
      <c r="F66" s="17"/>
      <c r="G66" s="15"/>
      <c r="H66" s="15"/>
    </row>
    <row r="67" customFormat="false" ht="15" hidden="false" customHeight="false" outlineLevel="0" collapsed="false">
      <c r="A67" s="15"/>
      <c r="B67" s="15"/>
      <c r="C67" s="15"/>
      <c r="D67" s="17"/>
      <c r="E67" s="15"/>
      <c r="F67" s="17"/>
      <c r="G67" s="15"/>
      <c r="H67" s="15"/>
    </row>
  </sheetData>
  <autoFilter ref="A7:H67"/>
  <mergeCells count="2">
    <mergeCell ref="A1:I1"/>
    <mergeCell ref="A2:I2"/>
  </mergeCells>
  <conditionalFormatting sqref="A8:H67">
    <cfRule type="expression" priority="2" aboveAverage="0" equalAverage="0" bottom="0" percent="0" rank="0" text="" dxfId="8">
      <formula>AND($E8="Pending",$D8&lt;TODAY())</formula>
    </cfRule>
    <cfRule type="expression" priority="3" aboveAverage="0" equalAverage="0" bottom="0" percent="0" rank="0" text="" dxfId="12">
      <formula>AND($E8="Pending",$D8&gt;=TODAY(),$D8-TODAY()&lt;=3)</formula>
    </cfRule>
    <cfRule type="expression" priority="4" aboveAverage="0" equalAverage="0" bottom="0" percent="0" rank="0" text="" dxfId="7">
      <formula>$E8="Approved"</formula>
    </cfRule>
  </conditionalFormatting>
  <dataValidations count="1">
    <dataValidation allowBlank="true" errorStyle="stop" operator="between" showDropDown="false" showErrorMessage="false" showInputMessage="false" sqref="E8:E67" type="list">
      <formula1>DecisionStatus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0"/>
    <col collapsed="false" customWidth="true" hidden="false" outlineLevel="0" max="4" min="4" style="0" width="18"/>
    <col collapsed="false" customWidth="true" hidden="false" outlineLevel="0" max="5" min="5" style="0" width="12"/>
    <col collapsed="false" customWidth="true" hidden="false" outlineLevel="0" max="6" min="6" style="0" width="14"/>
    <col collapsed="false" customWidth="true" hidden="false" outlineLevel="0" max="7" min="7" style="0" width="22"/>
    <col collapsed="false" customWidth="true" hidden="false" outlineLevel="0" max="8" min="8" style="0" width="16"/>
  </cols>
  <sheetData>
    <row r="1" customFormat="false" ht="25.5" hidden="false" customHeight="true" outlineLevel="0" collapsed="false">
      <c r="A1" s="1" t="s">
        <v>216</v>
      </c>
      <c r="B1" s="1"/>
      <c r="C1" s="1"/>
      <c r="D1" s="1"/>
      <c r="E1" s="1"/>
      <c r="F1" s="1"/>
      <c r="G1" s="1"/>
      <c r="H1" s="1"/>
      <c r="I1" s="1"/>
    </row>
    <row r="2" customFormat="false" ht="15.75" hidden="false" customHeight="true" outlineLevel="0" collapsed="false">
      <c r="A2" s="2" t="s">
        <v>217</v>
      </c>
      <c r="B2" s="2"/>
      <c r="C2" s="2"/>
      <c r="D2" s="2"/>
      <c r="E2" s="2"/>
      <c r="F2" s="2"/>
      <c r="G2" s="2"/>
      <c r="H2" s="2"/>
      <c r="I2" s="2"/>
    </row>
    <row r="3" customFormat="false" ht="15" hidden="false" customHeight="false" outlineLevel="0" collapsed="false">
      <c r="I3" s="3" t="s">
        <v>105</v>
      </c>
    </row>
    <row r="4" customFormat="false" ht="15" hidden="false" customHeight="false" outlineLevel="0" collapsed="false">
      <c r="I4" s="4" t="s">
        <v>218</v>
      </c>
      <c r="J4" s="0" t="n">
        <f aca="false">COUNTIF(E8:E67,"In Review")</f>
        <v>1</v>
      </c>
    </row>
    <row r="5" customFormat="false" ht="15" hidden="false" customHeight="false" outlineLevel="0" collapsed="false">
      <c r="I5" s="4" t="s">
        <v>219</v>
      </c>
      <c r="J5" s="0" t="n">
        <f aca="true">COUNTIFS(H8:H67,"&lt;"&amp;TODAY(),H8:H67,"&lt;&gt;")</f>
        <v>1</v>
      </c>
    </row>
    <row r="6" customFormat="false" ht="15" hidden="false" customHeight="false" outlineLevel="0" collapsed="false">
      <c r="I6" s="4" t="s">
        <v>220</v>
      </c>
      <c r="J6" s="0" t="n">
        <f aca="false">COUNTIF(E8:E67,"Approved")</f>
        <v>3</v>
      </c>
    </row>
    <row r="7" customFormat="false" ht="23.85" hidden="false" customHeight="false" outlineLevel="0" collapsed="false">
      <c r="A7" s="10" t="s">
        <v>221</v>
      </c>
      <c r="B7" s="10" t="s">
        <v>222</v>
      </c>
      <c r="C7" s="10" t="s">
        <v>223</v>
      </c>
      <c r="D7" s="10" t="s">
        <v>36</v>
      </c>
      <c r="E7" s="10" t="s">
        <v>88</v>
      </c>
      <c r="F7" s="10" t="s">
        <v>224</v>
      </c>
      <c r="G7" s="10" t="s">
        <v>225</v>
      </c>
      <c r="H7" s="10" t="s">
        <v>226</v>
      </c>
    </row>
    <row r="8" customFormat="false" ht="20.85" hidden="false" customHeight="false" outlineLevel="0" collapsed="false">
      <c r="A8" s="13" t="s">
        <v>227</v>
      </c>
      <c r="B8" s="13" t="s">
        <v>228</v>
      </c>
      <c r="C8" s="13" t="s">
        <v>229</v>
      </c>
      <c r="D8" s="13" t="s">
        <v>44</v>
      </c>
      <c r="E8" s="13" t="s">
        <v>213</v>
      </c>
      <c r="F8" s="14" t="n">
        <f aca="true">TODAY()-30</f>
        <v>46191</v>
      </c>
      <c r="G8" s="13" t="s">
        <v>230</v>
      </c>
      <c r="H8" s="14" t="n">
        <f aca="true">TODAY()+150</f>
        <v>46371</v>
      </c>
    </row>
    <row r="9" customFormat="false" ht="15" hidden="false" customHeight="false" outlineLevel="0" collapsed="false">
      <c r="A9" s="13" t="s">
        <v>231</v>
      </c>
      <c r="B9" s="13" t="s">
        <v>232</v>
      </c>
      <c r="C9" s="13" t="s">
        <v>233</v>
      </c>
      <c r="D9" s="13" t="s">
        <v>51</v>
      </c>
      <c r="E9" s="13" t="s">
        <v>213</v>
      </c>
      <c r="F9" s="14" t="n">
        <f aca="true">TODAY()-7</f>
        <v>46214</v>
      </c>
      <c r="G9" s="13" t="s">
        <v>230</v>
      </c>
      <c r="H9" s="14" t="n">
        <f aca="true">TODAY()+23</f>
        <v>46244</v>
      </c>
    </row>
    <row r="10" customFormat="false" ht="15" hidden="false" customHeight="false" outlineLevel="0" collapsed="false">
      <c r="A10" s="13" t="s">
        <v>234</v>
      </c>
      <c r="B10" s="13" t="s">
        <v>235</v>
      </c>
      <c r="C10" s="13" t="s">
        <v>236</v>
      </c>
      <c r="D10" s="13" t="s">
        <v>44</v>
      </c>
      <c r="E10" s="13" t="s">
        <v>213</v>
      </c>
      <c r="F10" s="14" t="n">
        <f aca="true">TODAY()-45</f>
        <v>46176</v>
      </c>
      <c r="G10" s="13" t="s">
        <v>237</v>
      </c>
      <c r="H10" s="14" t="n">
        <f aca="true">TODAY()+135</f>
        <v>46356</v>
      </c>
    </row>
    <row r="11" customFormat="false" ht="15" hidden="false" customHeight="false" outlineLevel="0" collapsed="false">
      <c r="A11" s="13" t="s">
        <v>136</v>
      </c>
      <c r="B11" s="13" t="s">
        <v>238</v>
      </c>
      <c r="C11" s="13" t="s">
        <v>239</v>
      </c>
      <c r="D11" s="13" t="s">
        <v>76</v>
      </c>
      <c r="E11" s="13" t="s">
        <v>218</v>
      </c>
      <c r="F11" s="14" t="n">
        <f aca="true">TODAY()-2</f>
        <v>46219</v>
      </c>
      <c r="G11" s="13" t="s">
        <v>230</v>
      </c>
      <c r="H11" s="14" t="n">
        <f aca="true">TODAY()-1</f>
        <v>46220</v>
      </c>
    </row>
    <row r="12" customFormat="false" ht="15" hidden="false" customHeight="false" outlineLevel="0" collapsed="false">
      <c r="A12" s="15"/>
      <c r="B12" s="15"/>
      <c r="C12" s="15"/>
      <c r="D12" s="15"/>
      <c r="E12" s="15"/>
      <c r="F12" s="17"/>
      <c r="G12" s="15"/>
      <c r="H12" s="17"/>
    </row>
    <row r="13" customFormat="false" ht="15" hidden="false" customHeight="false" outlineLevel="0" collapsed="false">
      <c r="A13" s="15"/>
      <c r="B13" s="15"/>
      <c r="C13" s="15"/>
      <c r="D13" s="15"/>
      <c r="E13" s="15"/>
      <c r="F13" s="17"/>
      <c r="G13" s="15"/>
      <c r="H13" s="17"/>
    </row>
    <row r="14" customFormat="false" ht="15" hidden="false" customHeight="false" outlineLevel="0" collapsed="false">
      <c r="A14" s="15"/>
      <c r="B14" s="15"/>
      <c r="C14" s="15"/>
      <c r="D14" s="15"/>
      <c r="E14" s="15"/>
      <c r="F14" s="17"/>
      <c r="G14" s="15"/>
      <c r="H14" s="17"/>
    </row>
    <row r="15" customFormat="false" ht="15" hidden="false" customHeight="false" outlineLevel="0" collapsed="false">
      <c r="A15" s="15"/>
      <c r="B15" s="15"/>
      <c r="C15" s="15"/>
      <c r="D15" s="15"/>
      <c r="E15" s="15"/>
      <c r="F15" s="17"/>
      <c r="G15" s="15"/>
      <c r="H15" s="17"/>
    </row>
    <row r="16" customFormat="false" ht="15" hidden="false" customHeight="false" outlineLevel="0" collapsed="false">
      <c r="A16" s="15"/>
      <c r="B16" s="15"/>
      <c r="C16" s="15"/>
      <c r="D16" s="15"/>
      <c r="E16" s="15"/>
      <c r="F16" s="17"/>
      <c r="G16" s="15"/>
      <c r="H16" s="17"/>
    </row>
    <row r="17" customFormat="false" ht="15" hidden="false" customHeight="false" outlineLevel="0" collapsed="false">
      <c r="A17" s="15"/>
      <c r="B17" s="15"/>
      <c r="C17" s="15"/>
      <c r="D17" s="15"/>
      <c r="E17" s="15"/>
      <c r="F17" s="17"/>
      <c r="G17" s="15"/>
      <c r="H17" s="17"/>
    </row>
    <row r="18" customFormat="false" ht="15" hidden="false" customHeight="false" outlineLevel="0" collapsed="false">
      <c r="A18" s="15"/>
      <c r="B18" s="15"/>
      <c r="C18" s="15"/>
      <c r="D18" s="15"/>
      <c r="E18" s="15"/>
      <c r="F18" s="17"/>
      <c r="G18" s="15"/>
      <c r="H18" s="17"/>
    </row>
    <row r="19" customFormat="false" ht="15" hidden="false" customHeight="false" outlineLevel="0" collapsed="false">
      <c r="A19" s="15"/>
      <c r="B19" s="15"/>
      <c r="C19" s="15"/>
      <c r="D19" s="15"/>
      <c r="E19" s="15"/>
      <c r="F19" s="17"/>
      <c r="G19" s="15"/>
      <c r="H19" s="17"/>
    </row>
    <row r="20" customFormat="false" ht="15" hidden="false" customHeight="false" outlineLevel="0" collapsed="false">
      <c r="A20" s="15"/>
      <c r="B20" s="15"/>
      <c r="C20" s="15"/>
      <c r="D20" s="15"/>
      <c r="E20" s="15"/>
      <c r="F20" s="17"/>
      <c r="G20" s="15"/>
      <c r="H20" s="17"/>
    </row>
    <row r="21" customFormat="false" ht="15" hidden="false" customHeight="false" outlineLevel="0" collapsed="false">
      <c r="A21" s="15"/>
      <c r="B21" s="15"/>
      <c r="C21" s="15"/>
      <c r="D21" s="15"/>
      <c r="E21" s="15"/>
      <c r="F21" s="17"/>
      <c r="G21" s="15"/>
      <c r="H21" s="17"/>
    </row>
    <row r="22" customFormat="false" ht="15" hidden="false" customHeight="false" outlineLevel="0" collapsed="false">
      <c r="A22" s="15"/>
      <c r="B22" s="15"/>
      <c r="C22" s="15"/>
      <c r="D22" s="15"/>
      <c r="E22" s="15"/>
      <c r="F22" s="17"/>
      <c r="G22" s="15"/>
      <c r="H22" s="17"/>
    </row>
    <row r="23" customFormat="false" ht="15" hidden="false" customHeight="false" outlineLevel="0" collapsed="false">
      <c r="A23" s="15"/>
      <c r="B23" s="15"/>
      <c r="C23" s="15"/>
      <c r="D23" s="15"/>
      <c r="E23" s="15"/>
      <c r="F23" s="17"/>
      <c r="G23" s="15"/>
      <c r="H23" s="17"/>
    </row>
    <row r="24" customFormat="false" ht="15" hidden="false" customHeight="false" outlineLevel="0" collapsed="false">
      <c r="A24" s="15"/>
      <c r="B24" s="15"/>
      <c r="C24" s="15"/>
      <c r="D24" s="15"/>
      <c r="E24" s="15"/>
      <c r="F24" s="17"/>
      <c r="G24" s="15"/>
      <c r="H24" s="17"/>
    </row>
    <row r="25" customFormat="false" ht="15" hidden="false" customHeight="false" outlineLevel="0" collapsed="false">
      <c r="A25" s="15"/>
      <c r="B25" s="15"/>
      <c r="C25" s="15"/>
      <c r="D25" s="15"/>
      <c r="E25" s="15"/>
      <c r="F25" s="17"/>
      <c r="G25" s="15"/>
      <c r="H25" s="17"/>
    </row>
    <row r="26" customFormat="false" ht="15" hidden="false" customHeight="false" outlineLevel="0" collapsed="false">
      <c r="A26" s="15"/>
      <c r="B26" s="15"/>
      <c r="C26" s="15"/>
      <c r="D26" s="15"/>
      <c r="E26" s="15"/>
      <c r="F26" s="17"/>
      <c r="G26" s="15"/>
      <c r="H26" s="17"/>
    </row>
    <row r="27" customFormat="false" ht="15" hidden="false" customHeight="false" outlineLevel="0" collapsed="false">
      <c r="A27" s="15"/>
      <c r="B27" s="15"/>
      <c r="C27" s="15"/>
      <c r="D27" s="15"/>
      <c r="E27" s="15"/>
      <c r="F27" s="17"/>
      <c r="G27" s="15"/>
      <c r="H27" s="17"/>
    </row>
    <row r="28" customFormat="false" ht="15" hidden="false" customHeight="false" outlineLevel="0" collapsed="false">
      <c r="A28" s="15"/>
      <c r="B28" s="15"/>
      <c r="C28" s="15"/>
      <c r="D28" s="15"/>
      <c r="E28" s="15"/>
      <c r="F28" s="17"/>
      <c r="G28" s="15"/>
      <c r="H28" s="17"/>
    </row>
    <row r="29" customFormat="false" ht="15" hidden="false" customHeight="false" outlineLevel="0" collapsed="false">
      <c r="A29" s="15"/>
      <c r="B29" s="15"/>
      <c r="C29" s="15"/>
      <c r="D29" s="15"/>
      <c r="E29" s="15"/>
      <c r="F29" s="17"/>
      <c r="G29" s="15"/>
      <c r="H29" s="17"/>
    </row>
    <row r="30" customFormat="false" ht="15" hidden="false" customHeight="false" outlineLevel="0" collapsed="false">
      <c r="A30" s="15"/>
      <c r="B30" s="15"/>
      <c r="C30" s="15"/>
      <c r="D30" s="15"/>
      <c r="E30" s="15"/>
      <c r="F30" s="17"/>
      <c r="G30" s="15"/>
      <c r="H30" s="17"/>
    </row>
    <row r="31" customFormat="false" ht="15" hidden="false" customHeight="false" outlineLevel="0" collapsed="false">
      <c r="A31" s="15"/>
      <c r="B31" s="15"/>
      <c r="C31" s="15"/>
      <c r="D31" s="15"/>
      <c r="E31" s="15"/>
      <c r="F31" s="17"/>
      <c r="G31" s="15"/>
      <c r="H31" s="17"/>
    </row>
    <row r="32" customFormat="false" ht="15" hidden="false" customHeight="false" outlineLevel="0" collapsed="false">
      <c r="A32" s="15"/>
      <c r="B32" s="15"/>
      <c r="C32" s="15"/>
      <c r="D32" s="15"/>
      <c r="E32" s="15"/>
      <c r="F32" s="17"/>
      <c r="G32" s="15"/>
      <c r="H32" s="17"/>
    </row>
    <row r="33" customFormat="false" ht="15" hidden="false" customHeight="false" outlineLevel="0" collapsed="false">
      <c r="A33" s="15"/>
      <c r="B33" s="15"/>
      <c r="C33" s="15"/>
      <c r="D33" s="15"/>
      <c r="E33" s="15"/>
      <c r="F33" s="17"/>
      <c r="G33" s="15"/>
      <c r="H33" s="17"/>
    </row>
    <row r="34" customFormat="false" ht="15" hidden="false" customHeight="false" outlineLevel="0" collapsed="false">
      <c r="A34" s="15"/>
      <c r="B34" s="15"/>
      <c r="C34" s="15"/>
      <c r="D34" s="15"/>
      <c r="E34" s="15"/>
      <c r="F34" s="17"/>
      <c r="G34" s="15"/>
      <c r="H34" s="17"/>
    </row>
    <row r="35" customFormat="false" ht="15" hidden="false" customHeight="false" outlineLevel="0" collapsed="false">
      <c r="A35" s="15"/>
      <c r="B35" s="15"/>
      <c r="C35" s="15"/>
      <c r="D35" s="15"/>
      <c r="E35" s="15"/>
      <c r="F35" s="17"/>
      <c r="G35" s="15"/>
      <c r="H35" s="17"/>
    </row>
    <row r="36" customFormat="false" ht="15" hidden="false" customHeight="false" outlineLevel="0" collapsed="false">
      <c r="A36" s="15"/>
      <c r="B36" s="15"/>
      <c r="C36" s="15"/>
      <c r="D36" s="15"/>
      <c r="E36" s="15"/>
      <c r="F36" s="17"/>
      <c r="G36" s="15"/>
      <c r="H36" s="17"/>
    </row>
    <row r="37" customFormat="false" ht="15" hidden="false" customHeight="false" outlineLevel="0" collapsed="false">
      <c r="A37" s="15"/>
      <c r="B37" s="15"/>
      <c r="C37" s="15"/>
      <c r="D37" s="15"/>
      <c r="E37" s="15"/>
      <c r="F37" s="17"/>
      <c r="G37" s="15"/>
      <c r="H37" s="17"/>
    </row>
    <row r="38" customFormat="false" ht="15" hidden="false" customHeight="false" outlineLevel="0" collapsed="false">
      <c r="A38" s="15"/>
      <c r="B38" s="15"/>
      <c r="C38" s="15"/>
      <c r="D38" s="15"/>
      <c r="E38" s="15"/>
      <c r="F38" s="17"/>
      <c r="G38" s="15"/>
      <c r="H38" s="17"/>
    </row>
    <row r="39" customFormat="false" ht="15" hidden="false" customHeight="false" outlineLevel="0" collapsed="false">
      <c r="A39" s="15"/>
      <c r="B39" s="15"/>
      <c r="C39" s="15"/>
      <c r="D39" s="15"/>
      <c r="E39" s="15"/>
      <c r="F39" s="17"/>
      <c r="G39" s="15"/>
      <c r="H39" s="17"/>
    </row>
    <row r="40" customFormat="false" ht="15" hidden="false" customHeight="false" outlineLevel="0" collapsed="false">
      <c r="A40" s="15"/>
      <c r="B40" s="15"/>
      <c r="C40" s="15"/>
      <c r="D40" s="15"/>
      <c r="E40" s="15"/>
      <c r="F40" s="17"/>
      <c r="G40" s="15"/>
      <c r="H40" s="17"/>
    </row>
    <row r="41" customFormat="false" ht="15" hidden="false" customHeight="false" outlineLevel="0" collapsed="false">
      <c r="A41" s="15"/>
      <c r="B41" s="15"/>
      <c r="C41" s="15"/>
      <c r="D41" s="15"/>
      <c r="E41" s="15"/>
      <c r="F41" s="17"/>
      <c r="G41" s="15"/>
      <c r="H41" s="17"/>
    </row>
    <row r="42" customFormat="false" ht="15" hidden="false" customHeight="false" outlineLevel="0" collapsed="false">
      <c r="A42" s="15"/>
      <c r="B42" s="15"/>
      <c r="C42" s="15"/>
      <c r="D42" s="15"/>
      <c r="E42" s="15"/>
      <c r="F42" s="17"/>
      <c r="G42" s="15"/>
      <c r="H42" s="17"/>
    </row>
    <row r="43" customFormat="false" ht="15" hidden="false" customHeight="false" outlineLevel="0" collapsed="false">
      <c r="A43" s="15"/>
      <c r="B43" s="15"/>
      <c r="C43" s="15"/>
      <c r="D43" s="15"/>
      <c r="E43" s="15"/>
      <c r="F43" s="17"/>
      <c r="G43" s="15"/>
      <c r="H43" s="17"/>
    </row>
    <row r="44" customFormat="false" ht="15" hidden="false" customHeight="false" outlineLevel="0" collapsed="false">
      <c r="A44" s="15"/>
      <c r="B44" s="15"/>
      <c r="C44" s="15"/>
      <c r="D44" s="15"/>
      <c r="E44" s="15"/>
      <c r="F44" s="17"/>
      <c r="G44" s="15"/>
      <c r="H44" s="17"/>
    </row>
    <row r="45" customFormat="false" ht="15" hidden="false" customHeight="false" outlineLevel="0" collapsed="false">
      <c r="A45" s="15"/>
      <c r="B45" s="15"/>
      <c r="C45" s="15"/>
      <c r="D45" s="15"/>
      <c r="E45" s="15"/>
      <c r="F45" s="17"/>
      <c r="G45" s="15"/>
      <c r="H45" s="17"/>
    </row>
    <row r="46" customFormat="false" ht="15" hidden="false" customHeight="false" outlineLevel="0" collapsed="false">
      <c r="A46" s="15"/>
      <c r="B46" s="15"/>
      <c r="C46" s="15"/>
      <c r="D46" s="15"/>
      <c r="E46" s="15"/>
      <c r="F46" s="17"/>
      <c r="G46" s="15"/>
      <c r="H46" s="17"/>
    </row>
    <row r="47" customFormat="false" ht="15" hidden="false" customHeight="false" outlineLevel="0" collapsed="false">
      <c r="A47" s="15"/>
      <c r="B47" s="15"/>
      <c r="C47" s="15"/>
      <c r="D47" s="15"/>
      <c r="E47" s="15"/>
      <c r="F47" s="17"/>
      <c r="G47" s="15"/>
      <c r="H47" s="17"/>
    </row>
    <row r="48" customFormat="false" ht="15" hidden="false" customHeight="false" outlineLevel="0" collapsed="false">
      <c r="A48" s="15"/>
      <c r="B48" s="15"/>
      <c r="C48" s="15"/>
      <c r="D48" s="15"/>
      <c r="E48" s="15"/>
      <c r="F48" s="17"/>
      <c r="G48" s="15"/>
      <c r="H48" s="17"/>
    </row>
    <row r="49" customFormat="false" ht="15" hidden="false" customHeight="false" outlineLevel="0" collapsed="false">
      <c r="A49" s="15"/>
      <c r="B49" s="15"/>
      <c r="C49" s="15"/>
      <c r="D49" s="15"/>
      <c r="E49" s="15"/>
      <c r="F49" s="17"/>
      <c r="G49" s="15"/>
      <c r="H49" s="17"/>
    </row>
    <row r="50" customFormat="false" ht="15" hidden="false" customHeight="false" outlineLevel="0" collapsed="false">
      <c r="A50" s="15"/>
      <c r="B50" s="15"/>
      <c r="C50" s="15"/>
      <c r="D50" s="15"/>
      <c r="E50" s="15"/>
      <c r="F50" s="17"/>
      <c r="G50" s="15"/>
      <c r="H50" s="17"/>
    </row>
    <row r="51" customFormat="false" ht="15" hidden="false" customHeight="false" outlineLevel="0" collapsed="false">
      <c r="A51" s="15"/>
      <c r="B51" s="15"/>
      <c r="C51" s="15"/>
      <c r="D51" s="15"/>
      <c r="E51" s="15"/>
      <c r="F51" s="17"/>
      <c r="G51" s="15"/>
      <c r="H51" s="17"/>
    </row>
    <row r="52" customFormat="false" ht="15" hidden="false" customHeight="false" outlineLevel="0" collapsed="false">
      <c r="A52" s="15"/>
      <c r="B52" s="15"/>
      <c r="C52" s="15"/>
      <c r="D52" s="15"/>
      <c r="E52" s="15"/>
      <c r="F52" s="17"/>
      <c r="G52" s="15"/>
      <c r="H52" s="17"/>
    </row>
    <row r="53" customFormat="false" ht="15" hidden="false" customHeight="false" outlineLevel="0" collapsed="false">
      <c r="A53" s="15"/>
      <c r="B53" s="15"/>
      <c r="C53" s="15"/>
      <c r="D53" s="15"/>
      <c r="E53" s="15"/>
      <c r="F53" s="17"/>
      <c r="G53" s="15"/>
      <c r="H53" s="17"/>
    </row>
    <row r="54" customFormat="false" ht="15" hidden="false" customHeight="false" outlineLevel="0" collapsed="false">
      <c r="A54" s="15"/>
      <c r="B54" s="15"/>
      <c r="C54" s="15"/>
      <c r="D54" s="15"/>
      <c r="E54" s="15"/>
      <c r="F54" s="17"/>
      <c r="G54" s="15"/>
      <c r="H54" s="17"/>
    </row>
    <row r="55" customFormat="false" ht="15" hidden="false" customHeight="false" outlineLevel="0" collapsed="false">
      <c r="A55" s="15"/>
      <c r="B55" s="15"/>
      <c r="C55" s="15"/>
      <c r="D55" s="15"/>
      <c r="E55" s="15"/>
      <c r="F55" s="17"/>
      <c r="G55" s="15"/>
      <c r="H55" s="17"/>
    </row>
    <row r="56" customFormat="false" ht="15" hidden="false" customHeight="false" outlineLevel="0" collapsed="false">
      <c r="A56" s="15"/>
      <c r="B56" s="15"/>
      <c r="C56" s="15"/>
      <c r="D56" s="15"/>
      <c r="E56" s="15"/>
      <c r="F56" s="17"/>
      <c r="G56" s="15"/>
      <c r="H56" s="17"/>
    </row>
    <row r="57" customFormat="false" ht="15" hidden="false" customHeight="false" outlineLevel="0" collapsed="false">
      <c r="A57" s="15"/>
      <c r="B57" s="15"/>
      <c r="C57" s="15"/>
      <c r="D57" s="15"/>
      <c r="E57" s="15"/>
      <c r="F57" s="17"/>
      <c r="G57" s="15"/>
      <c r="H57" s="17"/>
    </row>
    <row r="58" customFormat="false" ht="15" hidden="false" customHeight="false" outlineLevel="0" collapsed="false">
      <c r="A58" s="15"/>
      <c r="B58" s="15"/>
      <c r="C58" s="15"/>
      <c r="D58" s="15"/>
      <c r="E58" s="15"/>
      <c r="F58" s="17"/>
      <c r="G58" s="15"/>
      <c r="H58" s="17"/>
    </row>
    <row r="59" customFormat="false" ht="15" hidden="false" customHeight="false" outlineLevel="0" collapsed="false">
      <c r="A59" s="15"/>
      <c r="B59" s="15"/>
      <c r="C59" s="15"/>
      <c r="D59" s="15"/>
      <c r="E59" s="15"/>
      <c r="F59" s="17"/>
      <c r="G59" s="15"/>
      <c r="H59" s="17"/>
    </row>
    <row r="60" customFormat="false" ht="15" hidden="false" customHeight="false" outlineLevel="0" collapsed="false">
      <c r="A60" s="15"/>
      <c r="B60" s="15"/>
      <c r="C60" s="15"/>
      <c r="D60" s="15"/>
      <c r="E60" s="15"/>
      <c r="F60" s="17"/>
      <c r="G60" s="15"/>
      <c r="H60" s="17"/>
    </row>
    <row r="61" customFormat="false" ht="15" hidden="false" customHeight="false" outlineLevel="0" collapsed="false">
      <c r="A61" s="15"/>
      <c r="B61" s="15"/>
      <c r="C61" s="15"/>
      <c r="D61" s="15"/>
      <c r="E61" s="15"/>
      <c r="F61" s="17"/>
      <c r="G61" s="15"/>
      <c r="H61" s="17"/>
    </row>
    <row r="62" customFormat="false" ht="15" hidden="false" customHeight="false" outlineLevel="0" collapsed="false">
      <c r="A62" s="15"/>
      <c r="B62" s="15"/>
      <c r="C62" s="15"/>
      <c r="D62" s="15"/>
      <c r="E62" s="15"/>
      <c r="F62" s="17"/>
      <c r="G62" s="15"/>
      <c r="H62" s="17"/>
    </row>
    <row r="63" customFormat="false" ht="15" hidden="false" customHeight="false" outlineLevel="0" collapsed="false">
      <c r="A63" s="15"/>
      <c r="B63" s="15"/>
      <c r="C63" s="15"/>
      <c r="D63" s="15"/>
      <c r="E63" s="15"/>
      <c r="F63" s="17"/>
      <c r="G63" s="15"/>
      <c r="H63" s="17"/>
    </row>
    <row r="64" customFormat="false" ht="15" hidden="false" customHeight="false" outlineLevel="0" collapsed="false">
      <c r="A64" s="15"/>
      <c r="B64" s="15"/>
      <c r="C64" s="15"/>
      <c r="D64" s="15"/>
      <c r="E64" s="15"/>
      <c r="F64" s="17"/>
      <c r="G64" s="15"/>
      <c r="H64" s="17"/>
    </row>
    <row r="65" customFormat="false" ht="15" hidden="false" customHeight="false" outlineLevel="0" collapsed="false">
      <c r="A65" s="15"/>
      <c r="B65" s="15"/>
      <c r="C65" s="15"/>
      <c r="D65" s="15"/>
      <c r="E65" s="15"/>
      <c r="F65" s="17"/>
      <c r="G65" s="15"/>
      <c r="H65" s="17"/>
    </row>
    <row r="66" customFormat="false" ht="15" hidden="false" customHeight="false" outlineLevel="0" collapsed="false">
      <c r="A66" s="15"/>
      <c r="B66" s="15"/>
      <c r="C66" s="15"/>
      <c r="D66" s="15"/>
      <c r="E66" s="15"/>
      <c r="F66" s="17"/>
      <c r="G66" s="15"/>
      <c r="H66" s="17"/>
    </row>
    <row r="67" customFormat="false" ht="15" hidden="false" customHeight="false" outlineLevel="0" collapsed="false">
      <c r="A67" s="15"/>
      <c r="B67" s="15"/>
      <c r="C67" s="15"/>
      <c r="D67" s="15"/>
      <c r="E67" s="15"/>
      <c r="F67" s="17"/>
      <c r="G67" s="15"/>
      <c r="H67" s="17"/>
    </row>
  </sheetData>
  <autoFilter ref="A7:H67"/>
  <mergeCells count="2">
    <mergeCell ref="A1:I1"/>
    <mergeCell ref="A2:I2"/>
  </mergeCells>
  <conditionalFormatting sqref="A8:H67">
    <cfRule type="expression" priority="2" aboveAverage="0" equalAverage="0" bottom="0" percent="0" rank="0" text="" dxfId="8">
      <formula>AND($H8&lt;TODAY(),$H8&lt;&gt;"")</formula>
    </cfRule>
    <cfRule type="expression" priority="3" aboveAverage="0" equalAverage="0" bottom="0" percent="0" rank="0" text="" dxfId="12">
      <formula>$E8="In Review"</formula>
    </cfRule>
    <cfRule type="expression" priority="4" aboveAverage="0" equalAverage="0" bottom="0" percent="0" rank="0" text="" dxfId="7">
      <formula>$E8="Approved"</formula>
    </cfRule>
    <cfRule type="expression" priority="5" aboveAverage="0" equalAverage="0" bottom="0" percent="0" rank="0" text="" dxfId="13">
      <formula>$E8="Superseded"</formula>
    </cfRule>
  </conditionalFormatting>
  <dataValidations count="1">
    <dataValidation allowBlank="true" errorStyle="stop" operator="between" showDropDown="false" showErrorMessage="false" showInputMessage="false" sqref="E8:E67" type="list">
      <formula1>DocStatus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18"/>
    <col collapsed="false" customWidth="true" hidden="false" outlineLevel="0" max="4" min="4" style="0" width="20"/>
    <col collapsed="false" customWidth="true" hidden="false" outlineLevel="0" max="5" min="5" style="0" width="24"/>
    <col collapsed="false" customWidth="true" hidden="false" outlineLevel="0" max="6" min="6" style="0" width="15"/>
    <col collapsed="false" customWidth="true" hidden="false" outlineLevel="0" max="7" min="7" style="0" width="13"/>
    <col collapsed="false" customWidth="true" hidden="false" outlineLevel="0" max="8" min="8" style="0" width="12"/>
  </cols>
  <sheetData>
    <row r="1" customFormat="false" ht="25.5" hidden="false" customHeight="true" outlineLevel="0" collapsed="false">
      <c r="A1" s="1" t="s">
        <v>240</v>
      </c>
      <c r="B1" s="1"/>
      <c r="C1" s="1"/>
      <c r="D1" s="1"/>
      <c r="E1" s="1"/>
      <c r="F1" s="1"/>
      <c r="G1" s="1"/>
      <c r="H1" s="1"/>
    </row>
    <row r="2" customFormat="false" ht="15.75" hidden="false" customHeight="true" outlineLevel="0" collapsed="false">
      <c r="A2" s="2" t="s">
        <v>241</v>
      </c>
      <c r="B2" s="2"/>
      <c r="C2" s="2"/>
      <c r="D2" s="2"/>
      <c r="E2" s="2"/>
      <c r="F2" s="2"/>
      <c r="G2" s="2"/>
      <c r="H2" s="2"/>
    </row>
    <row r="4" customFormat="false" ht="15" hidden="false" customHeight="false" outlineLevel="0" collapsed="false">
      <c r="A4" s="10" t="s">
        <v>152</v>
      </c>
      <c r="B4" s="10" t="s">
        <v>242</v>
      </c>
      <c r="C4" s="10" t="s">
        <v>243</v>
      </c>
      <c r="D4" s="10" t="s">
        <v>36</v>
      </c>
      <c r="E4" s="10" t="s">
        <v>244</v>
      </c>
      <c r="F4" s="10" t="s">
        <v>245</v>
      </c>
      <c r="G4" s="10" t="s">
        <v>246</v>
      </c>
      <c r="H4" s="10" t="s">
        <v>88</v>
      </c>
    </row>
    <row r="5" customFormat="false" ht="15" hidden="false" customHeight="false" outlineLevel="0" collapsed="false">
      <c r="A5" s="13" t="s">
        <v>247</v>
      </c>
      <c r="B5" s="13" t="s">
        <v>49</v>
      </c>
      <c r="C5" s="13" t="s">
        <v>248</v>
      </c>
      <c r="D5" s="13" t="s">
        <v>44</v>
      </c>
      <c r="E5" s="13" t="s">
        <v>249</v>
      </c>
      <c r="F5" s="14" t="n">
        <f aca="true">TODAY()-7</f>
        <v>46214</v>
      </c>
      <c r="G5" s="14" t="n">
        <f aca="true">TODAY()</f>
        <v>46221</v>
      </c>
      <c r="H5" s="13" t="s">
        <v>250</v>
      </c>
    </row>
    <row r="6" customFormat="false" ht="15" hidden="false" customHeight="false" outlineLevel="0" collapsed="false">
      <c r="A6" s="13" t="s">
        <v>158</v>
      </c>
      <c r="B6" s="13" t="s">
        <v>65</v>
      </c>
      <c r="C6" s="13" t="s">
        <v>251</v>
      </c>
      <c r="D6" s="13" t="s">
        <v>44</v>
      </c>
      <c r="E6" s="13" t="s">
        <v>252</v>
      </c>
      <c r="F6" s="14" t="n">
        <f aca="true">TODAY()-25</f>
        <v>46196</v>
      </c>
      <c r="G6" s="14" t="n">
        <f aca="true">TODAY()+5</f>
        <v>46226</v>
      </c>
      <c r="H6" s="13" t="s">
        <v>250</v>
      </c>
    </row>
    <row r="7" customFormat="false" ht="15" hidden="false" customHeight="false" outlineLevel="0" collapsed="false">
      <c r="A7" s="13" t="s">
        <v>253</v>
      </c>
      <c r="B7" s="13" t="s">
        <v>65</v>
      </c>
      <c r="C7" s="13" t="s">
        <v>254</v>
      </c>
      <c r="D7" s="13" t="s">
        <v>51</v>
      </c>
      <c r="E7" s="13" t="s">
        <v>91</v>
      </c>
      <c r="F7" s="14" t="n">
        <f aca="true">TODAY()-28</f>
        <v>46193</v>
      </c>
      <c r="G7" s="14" t="n">
        <f aca="true">TODAY()+2</f>
        <v>46223</v>
      </c>
      <c r="H7" s="13" t="s">
        <v>250</v>
      </c>
    </row>
    <row r="8" customFormat="false" ht="15" hidden="false" customHeight="false" outlineLevel="0" collapsed="false">
      <c r="A8" s="13" t="s">
        <v>255</v>
      </c>
      <c r="B8" s="13" t="s">
        <v>74</v>
      </c>
      <c r="C8" s="13" t="s">
        <v>256</v>
      </c>
      <c r="D8" s="13" t="s">
        <v>76</v>
      </c>
      <c r="E8" s="13" t="s">
        <v>51</v>
      </c>
      <c r="F8" s="14" t="n">
        <f aca="true">TODAY()-80</f>
        <v>46141</v>
      </c>
      <c r="G8" s="14" t="n">
        <f aca="true">TODAY()+10</f>
        <v>46231</v>
      </c>
      <c r="H8" s="13" t="s">
        <v>250</v>
      </c>
    </row>
    <row r="9" customFormat="false" ht="15" hidden="false" customHeight="false" outlineLevel="0" collapsed="false">
      <c r="A9" s="15"/>
      <c r="B9" s="15"/>
      <c r="C9" s="15"/>
      <c r="D9" s="15"/>
      <c r="E9" s="15"/>
      <c r="F9" s="17"/>
      <c r="G9" s="17"/>
      <c r="H9" s="15"/>
    </row>
    <row r="10" customFormat="false" ht="15" hidden="false" customHeight="false" outlineLevel="0" collapsed="false">
      <c r="A10" s="15"/>
      <c r="B10" s="15"/>
      <c r="C10" s="15"/>
      <c r="D10" s="15"/>
      <c r="E10" s="15"/>
      <c r="F10" s="17"/>
      <c r="G10" s="17"/>
      <c r="H10" s="15"/>
    </row>
    <row r="11" customFormat="false" ht="15" hidden="false" customHeight="false" outlineLevel="0" collapsed="false">
      <c r="A11" s="15"/>
      <c r="B11" s="15"/>
      <c r="C11" s="15"/>
      <c r="D11" s="15"/>
      <c r="E11" s="15"/>
      <c r="F11" s="17"/>
      <c r="G11" s="17"/>
      <c r="H11" s="15"/>
    </row>
    <row r="12" customFormat="false" ht="15" hidden="false" customHeight="false" outlineLevel="0" collapsed="false">
      <c r="A12" s="15"/>
      <c r="B12" s="15"/>
      <c r="C12" s="15"/>
      <c r="D12" s="15"/>
      <c r="E12" s="15"/>
      <c r="F12" s="17"/>
      <c r="G12" s="17"/>
      <c r="H12" s="15"/>
    </row>
    <row r="13" customFormat="false" ht="15" hidden="false" customHeight="false" outlineLevel="0" collapsed="false">
      <c r="A13" s="15"/>
      <c r="B13" s="15"/>
      <c r="C13" s="15"/>
      <c r="D13" s="15"/>
      <c r="E13" s="15"/>
      <c r="F13" s="17"/>
      <c r="G13" s="17"/>
      <c r="H13" s="15"/>
    </row>
    <row r="14" customFormat="false" ht="15" hidden="false" customHeight="false" outlineLevel="0" collapsed="false">
      <c r="A14" s="15"/>
      <c r="B14" s="15"/>
      <c r="C14" s="15"/>
      <c r="D14" s="15"/>
      <c r="E14" s="15"/>
      <c r="F14" s="17"/>
      <c r="G14" s="17"/>
      <c r="H14" s="15"/>
    </row>
    <row r="15" customFormat="false" ht="15" hidden="false" customHeight="false" outlineLevel="0" collapsed="false">
      <c r="A15" s="15"/>
      <c r="B15" s="15"/>
      <c r="C15" s="15"/>
      <c r="D15" s="15"/>
      <c r="E15" s="15"/>
      <c r="F15" s="17"/>
      <c r="G15" s="17"/>
      <c r="H15" s="15"/>
    </row>
    <row r="16" customFormat="false" ht="15" hidden="false" customHeight="false" outlineLevel="0" collapsed="false">
      <c r="A16" s="15"/>
      <c r="B16" s="15"/>
      <c r="C16" s="15"/>
      <c r="D16" s="15"/>
      <c r="E16" s="15"/>
      <c r="F16" s="17"/>
      <c r="G16" s="17"/>
      <c r="H16" s="15"/>
    </row>
    <row r="17" customFormat="false" ht="15" hidden="false" customHeight="false" outlineLevel="0" collapsed="false">
      <c r="A17" s="15"/>
      <c r="B17" s="15"/>
      <c r="C17" s="15"/>
      <c r="D17" s="15"/>
      <c r="E17" s="15"/>
      <c r="F17" s="17"/>
      <c r="G17" s="17"/>
      <c r="H17" s="15"/>
    </row>
    <row r="18" customFormat="false" ht="15" hidden="false" customHeight="false" outlineLevel="0" collapsed="false">
      <c r="A18" s="15"/>
      <c r="B18" s="15"/>
      <c r="C18" s="15"/>
      <c r="D18" s="15"/>
      <c r="E18" s="15"/>
      <c r="F18" s="17"/>
      <c r="G18" s="17"/>
      <c r="H18" s="15"/>
    </row>
    <row r="19" customFormat="false" ht="15" hidden="false" customHeight="false" outlineLevel="0" collapsed="false">
      <c r="A19" s="15"/>
      <c r="B19" s="15"/>
      <c r="C19" s="15"/>
      <c r="D19" s="15"/>
      <c r="E19" s="15"/>
      <c r="F19" s="17"/>
      <c r="G19" s="17"/>
      <c r="H19" s="15"/>
    </row>
    <row r="20" customFormat="false" ht="15" hidden="false" customHeight="false" outlineLevel="0" collapsed="false">
      <c r="A20" s="15"/>
      <c r="B20" s="15"/>
      <c r="C20" s="15"/>
      <c r="D20" s="15"/>
      <c r="E20" s="15"/>
      <c r="F20" s="17"/>
      <c r="G20" s="17"/>
      <c r="H20" s="15"/>
    </row>
    <row r="21" customFormat="false" ht="15" hidden="false" customHeight="false" outlineLevel="0" collapsed="false">
      <c r="A21" s="15"/>
      <c r="B21" s="15"/>
      <c r="C21" s="15"/>
      <c r="D21" s="15"/>
      <c r="E21" s="15"/>
      <c r="F21" s="17"/>
      <c r="G21" s="17"/>
      <c r="H21" s="15"/>
    </row>
    <row r="22" customFormat="false" ht="15" hidden="false" customHeight="false" outlineLevel="0" collapsed="false">
      <c r="A22" s="15"/>
      <c r="B22" s="15"/>
      <c r="C22" s="15"/>
      <c r="D22" s="15"/>
      <c r="E22" s="15"/>
      <c r="F22" s="17"/>
      <c r="G22" s="17"/>
      <c r="H22" s="15"/>
    </row>
    <row r="23" customFormat="false" ht="15" hidden="false" customHeight="false" outlineLevel="0" collapsed="false">
      <c r="A23" s="15"/>
      <c r="B23" s="15"/>
      <c r="C23" s="15"/>
      <c r="D23" s="15"/>
      <c r="E23" s="15"/>
      <c r="F23" s="17"/>
      <c r="G23" s="17"/>
      <c r="H23" s="15"/>
    </row>
    <row r="24" customFormat="false" ht="15" hidden="false" customHeight="false" outlineLevel="0" collapsed="false">
      <c r="A24" s="15"/>
      <c r="B24" s="15"/>
      <c r="C24" s="15"/>
      <c r="D24" s="15"/>
      <c r="E24" s="15"/>
      <c r="F24" s="17"/>
      <c r="G24" s="17"/>
      <c r="H24" s="15"/>
    </row>
    <row r="25" customFormat="false" ht="15" hidden="false" customHeight="false" outlineLevel="0" collapsed="false">
      <c r="A25" s="15"/>
      <c r="B25" s="15"/>
      <c r="C25" s="15"/>
      <c r="D25" s="15"/>
      <c r="E25" s="15"/>
      <c r="F25" s="17"/>
      <c r="G25" s="17"/>
      <c r="H25" s="15"/>
    </row>
    <row r="26" customFormat="false" ht="15" hidden="false" customHeight="false" outlineLevel="0" collapsed="false">
      <c r="A26" s="15"/>
      <c r="B26" s="15"/>
      <c r="C26" s="15"/>
      <c r="D26" s="15"/>
      <c r="E26" s="15"/>
      <c r="F26" s="17"/>
      <c r="G26" s="17"/>
      <c r="H26" s="15"/>
    </row>
    <row r="27" customFormat="false" ht="15" hidden="false" customHeight="false" outlineLevel="0" collapsed="false">
      <c r="A27" s="15"/>
      <c r="B27" s="15"/>
      <c r="C27" s="15"/>
      <c r="D27" s="15"/>
      <c r="E27" s="15"/>
      <c r="F27" s="17"/>
      <c r="G27" s="17"/>
      <c r="H27" s="15"/>
    </row>
    <row r="28" customFormat="false" ht="15" hidden="false" customHeight="false" outlineLevel="0" collapsed="false">
      <c r="A28" s="15"/>
      <c r="B28" s="15"/>
      <c r="C28" s="15"/>
      <c r="D28" s="15"/>
      <c r="E28" s="15"/>
      <c r="F28" s="17"/>
      <c r="G28" s="17"/>
      <c r="H28" s="15"/>
    </row>
    <row r="29" customFormat="false" ht="15" hidden="false" customHeight="false" outlineLevel="0" collapsed="false">
      <c r="A29" s="15"/>
      <c r="B29" s="15"/>
      <c r="C29" s="15"/>
      <c r="D29" s="15"/>
      <c r="E29" s="15"/>
      <c r="F29" s="17"/>
      <c r="G29" s="17"/>
      <c r="H29" s="15"/>
    </row>
    <row r="30" customFormat="false" ht="15" hidden="false" customHeight="false" outlineLevel="0" collapsed="false">
      <c r="A30" s="15"/>
      <c r="B30" s="15"/>
      <c r="C30" s="15"/>
      <c r="D30" s="15"/>
      <c r="E30" s="15"/>
      <c r="F30" s="17"/>
      <c r="G30" s="17"/>
      <c r="H30" s="15"/>
    </row>
    <row r="31" customFormat="false" ht="15" hidden="false" customHeight="false" outlineLevel="0" collapsed="false">
      <c r="A31" s="15"/>
      <c r="B31" s="15"/>
      <c r="C31" s="15"/>
      <c r="D31" s="15"/>
      <c r="E31" s="15"/>
      <c r="F31" s="17"/>
      <c r="G31" s="17"/>
      <c r="H31" s="15"/>
    </row>
    <row r="32" customFormat="false" ht="15" hidden="false" customHeight="false" outlineLevel="0" collapsed="false">
      <c r="A32" s="15"/>
      <c r="B32" s="15"/>
      <c r="C32" s="15"/>
      <c r="D32" s="15"/>
      <c r="E32" s="15"/>
      <c r="F32" s="17"/>
      <c r="G32" s="17"/>
      <c r="H32" s="15"/>
    </row>
    <row r="33" customFormat="false" ht="15" hidden="false" customHeight="false" outlineLevel="0" collapsed="false">
      <c r="A33" s="15"/>
      <c r="B33" s="15"/>
      <c r="C33" s="15"/>
      <c r="D33" s="15"/>
      <c r="E33" s="15"/>
      <c r="F33" s="17"/>
      <c r="G33" s="17"/>
      <c r="H33" s="15"/>
    </row>
    <row r="34" customFormat="false" ht="15" hidden="false" customHeight="false" outlineLevel="0" collapsed="false">
      <c r="A34" s="15"/>
      <c r="B34" s="15"/>
      <c r="C34" s="15"/>
      <c r="D34" s="15"/>
      <c r="E34" s="15"/>
      <c r="F34" s="17"/>
      <c r="G34" s="17"/>
      <c r="H34" s="15"/>
    </row>
    <row r="35" customFormat="false" ht="15" hidden="false" customHeight="false" outlineLevel="0" collapsed="false">
      <c r="A35" s="15"/>
      <c r="B35" s="15"/>
      <c r="C35" s="15"/>
      <c r="D35" s="15"/>
      <c r="E35" s="15"/>
      <c r="F35" s="17"/>
      <c r="G35" s="17"/>
      <c r="H35" s="15"/>
    </row>
    <row r="36" customFormat="false" ht="15" hidden="false" customHeight="false" outlineLevel="0" collapsed="false">
      <c r="A36" s="15"/>
      <c r="B36" s="15"/>
      <c r="C36" s="15"/>
      <c r="D36" s="15"/>
      <c r="E36" s="15"/>
      <c r="F36" s="17"/>
      <c r="G36" s="17"/>
      <c r="H36" s="15"/>
    </row>
    <row r="37" customFormat="false" ht="15" hidden="false" customHeight="false" outlineLevel="0" collapsed="false">
      <c r="A37" s="15"/>
      <c r="B37" s="15"/>
      <c r="C37" s="15"/>
      <c r="D37" s="15"/>
      <c r="E37" s="15"/>
      <c r="F37" s="17"/>
      <c r="G37" s="17"/>
      <c r="H37" s="15"/>
    </row>
    <row r="38" customFormat="false" ht="15" hidden="false" customHeight="false" outlineLevel="0" collapsed="false">
      <c r="A38" s="15"/>
      <c r="B38" s="15"/>
      <c r="C38" s="15"/>
      <c r="D38" s="15"/>
      <c r="E38" s="15"/>
      <c r="F38" s="17"/>
      <c r="G38" s="17"/>
      <c r="H38" s="15"/>
    </row>
    <row r="39" customFormat="false" ht="15" hidden="false" customHeight="false" outlineLevel="0" collapsed="false">
      <c r="A39" s="15"/>
      <c r="B39" s="15"/>
      <c r="C39" s="15"/>
      <c r="D39" s="15"/>
      <c r="E39" s="15"/>
      <c r="F39" s="17"/>
      <c r="G39" s="17"/>
      <c r="H39" s="15"/>
    </row>
    <row r="40" customFormat="false" ht="15" hidden="false" customHeight="false" outlineLevel="0" collapsed="false">
      <c r="A40" s="15"/>
      <c r="B40" s="15"/>
      <c r="C40" s="15"/>
      <c r="D40" s="15"/>
      <c r="E40" s="15"/>
      <c r="F40" s="17"/>
      <c r="G40" s="17"/>
      <c r="H40" s="15"/>
    </row>
    <row r="41" customFormat="false" ht="15" hidden="false" customHeight="false" outlineLevel="0" collapsed="false">
      <c r="A41" s="15"/>
      <c r="B41" s="15"/>
      <c r="C41" s="15"/>
      <c r="D41" s="15"/>
      <c r="E41" s="15"/>
      <c r="F41" s="17"/>
      <c r="G41" s="17"/>
      <c r="H41" s="15"/>
    </row>
    <row r="42" customFormat="false" ht="15" hidden="false" customHeight="false" outlineLevel="0" collapsed="false">
      <c r="A42" s="15"/>
      <c r="B42" s="15"/>
      <c r="C42" s="15"/>
      <c r="D42" s="15"/>
      <c r="E42" s="15"/>
      <c r="F42" s="17"/>
      <c r="G42" s="17"/>
      <c r="H42" s="15"/>
    </row>
    <row r="43" customFormat="false" ht="15" hidden="false" customHeight="false" outlineLevel="0" collapsed="false">
      <c r="A43" s="15"/>
      <c r="B43" s="15"/>
      <c r="C43" s="15"/>
      <c r="D43" s="15"/>
      <c r="E43" s="15"/>
      <c r="F43" s="17"/>
      <c r="G43" s="17"/>
      <c r="H43" s="15"/>
    </row>
    <row r="44" customFormat="false" ht="15" hidden="false" customHeight="false" outlineLevel="0" collapsed="false">
      <c r="A44" s="15"/>
      <c r="B44" s="15"/>
      <c r="C44" s="15"/>
      <c r="D44" s="15"/>
      <c r="E44" s="15"/>
      <c r="F44" s="17"/>
      <c r="G44" s="17"/>
      <c r="H44" s="15"/>
    </row>
    <row r="45" customFormat="false" ht="15" hidden="false" customHeight="false" outlineLevel="0" collapsed="false">
      <c r="A45" s="15"/>
      <c r="B45" s="15"/>
      <c r="C45" s="15"/>
      <c r="D45" s="15"/>
      <c r="E45" s="15"/>
      <c r="F45" s="17"/>
      <c r="G45" s="17"/>
      <c r="H45" s="15"/>
    </row>
    <row r="46" customFormat="false" ht="15" hidden="false" customHeight="false" outlineLevel="0" collapsed="false">
      <c r="A46" s="15"/>
      <c r="B46" s="15"/>
      <c r="C46" s="15"/>
      <c r="D46" s="15"/>
      <c r="E46" s="15"/>
      <c r="F46" s="17"/>
      <c r="G46" s="17"/>
      <c r="H46" s="15"/>
    </row>
    <row r="47" customFormat="false" ht="15" hidden="false" customHeight="false" outlineLevel="0" collapsed="false">
      <c r="A47" s="15"/>
      <c r="B47" s="15"/>
      <c r="C47" s="15"/>
      <c r="D47" s="15"/>
      <c r="E47" s="15"/>
      <c r="F47" s="17"/>
      <c r="G47" s="17"/>
      <c r="H47" s="15"/>
    </row>
    <row r="48" customFormat="false" ht="15" hidden="false" customHeight="false" outlineLevel="0" collapsed="false">
      <c r="A48" s="15"/>
      <c r="B48" s="15"/>
      <c r="C48" s="15"/>
      <c r="D48" s="15"/>
      <c r="E48" s="15"/>
      <c r="F48" s="17"/>
      <c r="G48" s="17"/>
      <c r="H48" s="15"/>
    </row>
    <row r="49" customFormat="false" ht="15" hidden="false" customHeight="false" outlineLevel="0" collapsed="false">
      <c r="A49" s="15"/>
      <c r="B49" s="15"/>
      <c r="C49" s="15"/>
      <c r="D49" s="15"/>
      <c r="E49" s="15"/>
      <c r="F49" s="17"/>
      <c r="G49" s="17"/>
      <c r="H49" s="15"/>
    </row>
    <row r="50" customFormat="false" ht="15" hidden="false" customHeight="false" outlineLevel="0" collapsed="false">
      <c r="A50" s="15"/>
      <c r="B50" s="15"/>
      <c r="C50" s="15"/>
      <c r="D50" s="15"/>
      <c r="E50" s="15"/>
      <c r="F50" s="17"/>
      <c r="G50" s="17"/>
      <c r="H50" s="15"/>
    </row>
    <row r="51" customFormat="false" ht="15" hidden="false" customHeight="false" outlineLevel="0" collapsed="false">
      <c r="A51" s="15"/>
      <c r="B51" s="15"/>
      <c r="C51" s="15"/>
      <c r="D51" s="15"/>
      <c r="E51" s="15"/>
      <c r="F51" s="17"/>
      <c r="G51" s="17"/>
      <c r="H51" s="15"/>
    </row>
    <row r="52" customFormat="false" ht="15" hidden="false" customHeight="false" outlineLevel="0" collapsed="false">
      <c r="A52" s="15"/>
      <c r="B52" s="15"/>
      <c r="C52" s="15"/>
      <c r="D52" s="15"/>
      <c r="E52" s="15"/>
      <c r="F52" s="17"/>
      <c r="G52" s="17"/>
      <c r="H52" s="15"/>
    </row>
    <row r="53" customFormat="false" ht="15" hidden="false" customHeight="false" outlineLevel="0" collapsed="false">
      <c r="A53" s="15"/>
      <c r="B53" s="15"/>
      <c r="C53" s="15"/>
      <c r="D53" s="15"/>
      <c r="E53" s="15"/>
      <c r="F53" s="17"/>
      <c r="G53" s="17"/>
      <c r="H53" s="15"/>
    </row>
    <row r="54" customFormat="false" ht="15" hidden="false" customHeight="false" outlineLevel="0" collapsed="false">
      <c r="A54" s="15"/>
      <c r="B54" s="15"/>
      <c r="C54" s="15"/>
      <c r="D54" s="15"/>
      <c r="E54" s="15"/>
      <c r="F54" s="17"/>
      <c r="G54" s="17"/>
      <c r="H54" s="15"/>
    </row>
    <row r="55" customFormat="false" ht="15" hidden="false" customHeight="false" outlineLevel="0" collapsed="false">
      <c r="A55" s="15"/>
      <c r="B55" s="15"/>
      <c r="C55" s="15"/>
      <c r="D55" s="15"/>
      <c r="E55" s="15"/>
      <c r="F55" s="17"/>
      <c r="G55" s="17"/>
      <c r="H55" s="15"/>
    </row>
    <row r="56" customFormat="false" ht="15" hidden="false" customHeight="false" outlineLevel="0" collapsed="false">
      <c r="A56" s="15"/>
      <c r="B56" s="15"/>
      <c r="C56" s="15"/>
      <c r="D56" s="15"/>
      <c r="E56" s="15"/>
      <c r="F56" s="17"/>
      <c r="G56" s="17"/>
      <c r="H56" s="15"/>
    </row>
    <row r="57" customFormat="false" ht="15" hidden="false" customHeight="false" outlineLevel="0" collapsed="false">
      <c r="A57" s="15"/>
      <c r="B57" s="15"/>
      <c r="C57" s="15"/>
      <c r="D57" s="15"/>
      <c r="E57" s="15"/>
      <c r="F57" s="17"/>
      <c r="G57" s="17"/>
      <c r="H57" s="15"/>
    </row>
    <row r="58" customFormat="false" ht="15" hidden="false" customHeight="false" outlineLevel="0" collapsed="false">
      <c r="A58" s="15"/>
      <c r="B58" s="15"/>
      <c r="C58" s="15"/>
      <c r="D58" s="15"/>
      <c r="E58" s="15"/>
      <c r="F58" s="17"/>
      <c r="G58" s="17"/>
      <c r="H58" s="15"/>
    </row>
    <row r="59" customFormat="false" ht="15" hidden="false" customHeight="false" outlineLevel="0" collapsed="false">
      <c r="A59" s="15"/>
      <c r="B59" s="15"/>
      <c r="C59" s="15"/>
      <c r="D59" s="15"/>
      <c r="E59" s="15"/>
      <c r="F59" s="17"/>
      <c r="G59" s="17"/>
      <c r="H59" s="15"/>
    </row>
    <row r="60" customFormat="false" ht="15" hidden="false" customHeight="false" outlineLevel="0" collapsed="false">
      <c r="A60" s="15"/>
      <c r="B60" s="15"/>
      <c r="C60" s="15"/>
      <c r="D60" s="15"/>
      <c r="E60" s="15"/>
      <c r="F60" s="17"/>
      <c r="G60" s="17"/>
      <c r="H60" s="15"/>
    </row>
    <row r="61" customFormat="false" ht="15" hidden="false" customHeight="false" outlineLevel="0" collapsed="false">
      <c r="A61" s="15"/>
      <c r="B61" s="15"/>
      <c r="C61" s="15"/>
      <c r="D61" s="15"/>
      <c r="E61" s="15"/>
      <c r="F61" s="17"/>
      <c r="G61" s="17"/>
      <c r="H61" s="15"/>
    </row>
    <row r="62" customFormat="false" ht="15" hidden="false" customHeight="false" outlineLevel="0" collapsed="false">
      <c r="A62" s="15"/>
      <c r="B62" s="15"/>
      <c r="C62" s="15"/>
      <c r="D62" s="15"/>
      <c r="E62" s="15"/>
      <c r="F62" s="17"/>
      <c r="G62" s="17"/>
      <c r="H62" s="15"/>
    </row>
    <row r="63" customFormat="false" ht="15" hidden="false" customHeight="false" outlineLevel="0" collapsed="false">
      <c r="A63" s="15"/>
      <c r="B63" s="15"/>
      <c r="C63" s="15"/>
      <c r="D63" s="15"/>
      <c r="E63" s="15"/>
      <c r="F63" s="17"/>
      <c r="G63" s="17"/>
      <c r="H63" s="15"/>
    </row>
    <row r="64" customFormat="false" ht="15" hidden="false" customHeight="false" outlineLevel="0" collapsed="false">
      <c r="A64" s="15"/>
      <c r="B64" s="15"/>
      <c r="C64" s="15"/>
      <c r="D64" s="15"/>
      <c r="E64" s="15"/>
      <c r="F64" s="17"/>
      <c r="G64" s="17"/>
      <c r="H64" s="15"/>
    </row>
  </sheetData>
  <autoFilter ref="A4:H64"/>
  <mergeCells count="2">
    <mergeCell ref="A1:H1"/>
    <mergeCell ref="A2:H2"/>
  </mergeCells>
  <conditionalFormatting sqref="A5:H64">
    <cfRule type="expression" priority="2" aboveAverage="0" equalAverage="0" bottom="0" percent="0" rank="0" text="" dxfId="8">
      <formula>$H5="Late"</formula>
    </cfRule>
    <cfRule type="expression" priority="3" aboveAverage="0" equalAverage="0" bottom="0" percent="0" rank="0" text="" dxfId="12">
      <formula>$H5="At Risk"</formula>
    </cfRule>
    <cfRule type="expression" priority="4" aboveAverage="0" equalAverage="0" bottom="0" percent="0" rank="0" text="" dxfId="7">
      <formula>OR($H5="Submitted",$H5="On Track")</formula>
    </cfRule>
  </conditionalFormatting>
  <dataValidations count="2">
    <dataValidation allowBlank="true" errorStyle="stop" operator="between" showDropDown="false" showErrorMessage="false" showInputMessage="false" sqref="B5:B64" type="list">
      <formula1>Cadence</formula1>
      <formula2>0</formula2>
    </dataValidation>
    <dataValidation allowBlank="true" errorStyle="stop" operator="between" showDropDown="false" showErrorMessage="false" showInputMessage="false" sqref="H5:H64" type="list">
      <formula1>ReportStatus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8"/>
    <col collapsed="false" customWidth="true" hidden="false" outlineLevel="0" max="4" min="3" style="0" width="10"/>
    <col collapsed="false" customWidth="true" hidden="false" outlineLevel="0" max="5" min="5" style="0" width="12"/>
    <col collapsed="false" customWidth="true" hidden="false" outlineLevel="0" max="6" min="6" style="0" width="16"/>
    <col collapsed="false" customWidth="true" hidden="false" outlineLevel="0" max="7" min="7" style="0" width="24"/>
  </cols>
  <sheetData>
    <row r="1" customFormat="false" ht="25.5" hidden="false" customHeight="true" outlineLevel="0" collapsed="false">
      <c r="A1" s="1" t="s">
        <v>257</v>
      </c>
      <c r="B1" s="1"/>
      <c r="C1" s="1"/>
      <c r="D1" s="1"/>
      <c r="E1" s="1"/>
      <c r="F1" s="1"/>
      <c r="G1" s="1"/>
    </row>
    <row r="2" customFormat="false" ht="15.75" hidden="false" customHeight="true" outlineLevel="0" collapsed="false">
      <c r="A2" s="2" t="s">
        <v>258</v>
      </c>
      <c r="B2" s="2"/>
      <c r="C2" s="2"/>
      <c r="D2" s="2"/>
      <c r="E2" s="2"/>
      <c r="F2" s="2"/>
      <c r="G2" s="2"/>
    </row>
    <row r="4" customFormat="false" ht="15" hidden="false" customHeight="false" outlineLevel="0" collapsed="false">
      <c r="A4" s="10" t="s">
        <v>259</v>
      </c>
      <c r="B4" s="10" t="s">
        <v>260</v>
      </c>
      <c r="C4" s="10" t="s">
        <v>261</v>
      </c>
      <c r="D4" s="10" t="s">
        <v>262</v>
      </c>
      <c r="E4" s="10" t="s">
        <v>88</v>
      </c>
      <c r="F4" s="10" t="s">
        <v>263</v>
      </c>
      <c r="G4" s="10" t="s">
        <v>264</v>
      </c>
    </row>
    <row r="5" customFormat="false" ht="15" hidden="false" customHeight="false" outlineLevel="0" collapsed="false">
      <c r="A5" s="20" t="s">
        <v>265</v>
      </c>
      <c r="B5" s="13" t="s">
        <v>266</v>
      </c>
      <c r="C5" s="21" t="n">
        <v>0.85</v>
      </c>
      <c r="D5" s="21" t="n">
        <f aca="false">IFERROR(COUNTIF('Action Tracker'!G8:G67,"Closed")/COUNTIF('Action Tracker'!A8:A67,"&lt;&gt;"),0)</f>
        <v>0.2</v>
      </c>
      <c r="E5" s="22" t="str">
        <f aca="false">IF(D5&gt;=C5,"Green",IF(D5&gt;=C5*0.8,"Amber","Red"))</f>
        <v>Red</v>
      </c>
      <c r="F5" s="12" t="s">
        <v>267</v>
      </c>
      <c r="G5" s="13"/>
    </row>
    <row r="6" customFormat="false" ht="15" hidden="false" customHeight="false" outlineLevel="0" collapsed="false">
      <c r="A6" s="20" t="s">
        <v>268</v>
      </c>
      <c r="B6" s="13" t="s">
        <v>269</v>
      </c>
      <c r="C6" s="21" t="n">
        <v>0.1</v>
      </c>
      <c r="D6" s="21" t="n">
        <f aca="false">IFERROR('Action Tracker'!K5/'Action Tracker'!K4,0)</f>
        <v>0.5</v>
      </c>
      <c r="E6" s="22" t="str">
        <f aca="false">IF(D6&lt;=C6,"Green",IF(D6&lt;=C6*1.5,"Amber","Red"))</f>
        <v>Red</v>
      </c>
      <c r="F6" s="12" t="s">
        <v>267</v>
      </c>
      <c r="G6" s="13"/>
    </row>
    <row r="7" customFormat="false" ht="20.85" hidden="false" customHeight="false" outlineLevel="0" collapsed="false">
      <c r="A7" s="20" t="s">
        <v>270</v>
      </c>
      <c r="B7" s="13" t="s">
        <v>271</v>
      </c>
      <c r="C7" s="21" t="n">
        <v>0.9</v>
      </c>
      <c r="D7" s="21" t="n">
        <v>0.92</v>
      </c>
      <c r="E7" s="23" t="s">
        <v>272</v>
      </c>
      <c r="F7" s="12" t="s">
        <v>272</v>
      </c>
      <c r="G7" s="13"/>
    </row>
    <row r="8" customFormat="false" ht="15" hidden="false" customHeight="false" outlineLevel="0" collapsed="false">
      <c r="A8" s="20" t="s">
        <v>273</v>
      </c>
      <c r="B8" s="13" t="s">
        <v>274</v>
      </c>
      <c r="C8" s="24" t="n">
        <v>0</v>
      </c>
      <c r="D8" s="24" t="n">
        <f aca="false">'RAID Log'!K5</f>
        <v>2</v>
      </c>
      <c r="E8" s="22" t="str">
        <f aca="false">IF(D8&lt;=C8,"Green",IF(D8&lt;=C8+2,"Amber","Red"))</f>
        <v>Amber</v>
      </c>
      <c r="F8" s="12" t="s">
        <v>267</v>
      </c>
      <c r="G8" s="13"/>
    </row>
    <row r="9" customFormat="false" ht="15" hidden="false" customHeight="false" outlineLevel="0" collapsed="false">
      <c r="A9" s="20" t="s">
        <v>275</v>
      </c>
      <c r="B9" s="13" t="s">
        <v>276</v>
      </c>
      <c r="C9" s="25" t="n">
        <v>5</v>
      </c>
      <c r="D9" s="25" t="n">
        <v>4.2</v>
      </c>
      <c r="E9" s="23" t="s">
        <v>272</v>
      </c>
      <c r="F9" s="12" t="s">
        <v>272</v>
      </c>
      <c r="G9" s="13"/>
    </row>
    <row r="10" customFormat="false" ht="15" hidden="false" customHeight="false" outlineLevel="0" collapsed="false">
      <c r="A10" s="20" t="s">
        <v>277</v>
      </c>
      <c r="B10" s="13" t="s">
        <v>278</v>
      </c>
      <c r="C10" s="21" t="n">
        <v>0.9</v>
      </c>
      <c r="D10" s="21" t="n">
        <f aca="false">IFERROR(COUNTIF('Document Register'!E8:E67,"Approved")/COUNTIF('Document Register'!A8:A67,"&lt;&gt;"),0)</f>
        <v>0.75</v>
      </c>
      <c r="E10" s="22" t="str">
        <f aca="false">IF(D10&gt;=C10,"Green",IF(D10&gt;=C10*0.8,"Amber","Red"))</f>
        <v>Amber</v>
      </c>
      <c r="F10" s="12" t="s">
        <v>267</v>
      </c>
      <c r="G10" s="13"/>
    </row>
    <row r="11" customFormat="false" ht="15" hidden="false" customHeight="false" outlineLevel="0" collapsed="false">
      <c r="A11" s="20" t="s">
        <v>279</v>
      </c>
      <c r="B11" s="13" t="s">
        <v>280</v>
      </c>
      <c r="C11" s="21" t="n">
        <v>0.9</v>
      </c>
      <c r="D11" s="21" t="n">
        <v>0.88</v>
      </c>
      <c r="E11" s="23" t="s">
        <v>272</v>
      </c>
      <c r="F11" s="12" t="s">
        <v>272</v>
      </c>
      <c r="G11" s="13"/>
    </row>
    <row r="13" customFormat="false" ht="15" hidden="false" customHeight="false" outlineLevel="0" collapsed="false">
      <c r="A13" s="26" t="s">
        <v>281</v>
      </c>
      <c r="B13" s="26"/>
      <c r="C13" s="26"/>
      <c r="D13" s="26"/>
      <c r="E13" s="26"/>
      <c r="F13" s="26"/>
      <c r="G13" s="26"/>
    </row>
  </sheetData>
  <autoFilter ref="A4:G11"/>
  <mergeCells count="3">
    <mergeCell ref="A1:G1"/>
    <mergeCell ref="A2:G2"/>
    <mergeCell ref="A13:G13"/>
  </mergeCells>
  <conditionalFormatting sqref="E5:E11">
    <cfRule type="expression" priority="2" aboveAverage="0" equalAverage="0" bottom="0" percent="0" rank="0" text="" dxfId="7">
      <formula>E5="Green"</formula>
    </cfRule>
    <cfRule type="expression" priority="3" aboveAverage="0" equalAverage="0" bottom="0" percent="0" rank="0" text="" dxfId="12">
      <formula>E5="Amber"</formula>
    </cfRule>
    <cfRule type="expression" priority="4" aboveAverage="0" equalAverage="0" bottom="0" percent="0" rank="0" text="" dxfId="8">
      <formula>E5="Red"</formula>
    </cfRule>
    <cfRule type="expression" priority="5" aboveAverage="0" equalAverage="0" bottom="0" percent="0" rank="0" text="" dxfId="13">
      <formula>E5="Manual Input Required"</formula>
    </cfRule>
  </conditionalFormatting>
  <conditionalFormatting sqref="F5:F11">
    <cfRule type="expression" priority="6" aboveAverage="0" equalAverage="0" bottom="0" percent="0" rank="0" text="" dxfId="13">
      <formula>F5="Manual Input Required"</formula>
    </cfRule>
    <cfRule type="expression" priority="7" aboveAverage="0" equalAverage="0" bottom="0" percent="0" rank="0" text="" dxfId="9">
      <formula>F5="Calculated"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3" t="s">
        <v>113</v>
      </c>
      <c r="B1" s="3" t="s">
        <v>282</v>
      </c>
      <c r="C1" s="3" t="s">
        <v>283</v>
      </c>
      <c r="D1" s="3" t="s">
        <v>284</v>
      </c>
      <c r="E1" s="3" t="s">
        <v>285</v>
      </c>
      <c r="F1" s="3" t="s">
        <v>286</v>
      </c>
      <c r="G1" s="3" t="s">
        <v>287</v>
      </c>
      <c r="H1" s="3" t="s">
        <v>288</v>
      </c>
      <c r="I1" s="3" t="s">
        <v>289</v>
      </c>
      <c r="J1" s="3" t="s">
        <v>290</v>
      </c>
      <c r="K1" s="3" t="s">
        <v>291</v>
      </c>
      <c r="L1" s="3" t="s">
        <v>34</v>
      </c>
      <c r="M1" s="3" t="s">
        <v>292</v>
      </c>
      <c r="N1" s="3" t="s">
        <v>293</v>
      </c>
      <c r="O1" s="3" t="s">
        <v>294</v>
      </c>
    </row>
    <row r="2" customFormat="false" ht="15" hidden="false" customHeight="false" outlineLevel="0" collapsed="false">
      <c r="A2" s="0" t="s">
        <v>119</v>
      </c>
      <c r="B2" s="0" t="s">
        <v>120</v>
      </c>
      <c r="C2" s="0" t="s">
        <v>295</v>
      </c>
      <c r="D2" s="0" t="s">
        <v>175</v>
      </c>
      <c r="E2" s="0" t="s">
        <v>296</v>
      </c>
      <c r="F2" s="0" t="s">
        <v>120</v>
      </c>
      <c r="G2" s="0" t="s">
        <v>101</v>
      </c>
      <c r="H2" s="0" t="s">
        <v>297</v>
      </c>
      <c r="I2" s="0" t="s">
        <v>159</v>
      </c>
      <c r="J2" s="0" t="s">
        <v>298</v>
      </c>
      <c r="K2" s="0" t="s">
        <v>102</v>
      </c>
      <c r="L2" s="0" t="s">
        <v>42</v>
      </c>
      <c r="M2" s="0" t="s">
        <v>299</v>
      </c>
      <c r="N2" s="0" t="s">
        <v>250</v>
      </c>
      <c r="O2" s="0" t="s">
        <v>299</v>
      </c>
    </row>
    <row r="3" customFormat="false" ht="15" hidden="false" customHeight="false" outlineLevel="0" collapsed="false">
      <c r="A3" s="0" t="s">
        <v>132</v>
      </c>
      <c r="B3" s="0" t="s">
        <v>126</v>
      </c>
      <c r="C3" s="0" t="s">
        <v>300</v>
      </c>
      <c r="D3" s="0" t="s">
        <v>178</v>
      </c>
      <c r="E3" s="0" t="s">
        <v>132</v>
      </c>
      <c r="F3" s="0" t="s">
        <v>186</v>
      </c>
      <c r="G3" s="0" t="s">
        <v>213</v>
      </c>
      <c r="H3" s="0" t="s">
        <v>218</v>
      </c>
      <c r="I3" s="0" t="s">
        <v>153</v>
      </c>
      <c r="J3" s="0" t="s">
        <v>96</v>
      </c>
      <c r="K3" s="0" t="s">
        <v>94</v>
      </c>
      <c r="L3" s="0" t="s">
        <v>49</v>
      </c>
      <c r="M3" s="0" t="s">
        <v>6</v>
      </c>
      <c r="N3" s="0" t="s">
        <v>301</v>
      </c>
      <c r="O3" s="0" t="s">
        <v>6</v>
      </c>
    </row>
    <row r="4" customFormat="false" ht="15" hidden="false" customHeight="false" outlineLevel="0" collapsed="false">
      <c r="A4" s="0" t="s">
        <v>296</v>
      </c>
      <c r="B4" s="0" t="s">
        <v>135</v>
      </c>
      <c r="C4" s="0" t="s">
        <v>180</v>
      </c>
      <c r="D4" s="0" t="s">
        <v>183</v>
      </c>
      <c r="E4" s="0" t="s">
        <v>119</v>
      </c>
      <c r="F4" s="0" t="s">
        <v>135</v>
      </c>
      <c r="G4" s="0" t="s">
        <v>302</v>
      </c>
      <c r="H4" s="0" t="s">
        <v>213</v>
      </c>
      <c r="I4" s="0" t="s">
        <v>163</v>
      </c>
      <c r="J4" s="0" t="s">
        <v>303</v>
      </c>
      <c r="K4" s="0" t="s">
        <v>304</v>
      </c>
      <c r="L4" s="0" t="s">
        <v>60</v>
      </c>
      <c r="M4" s="0" t="s">
        <v>305</v>
      </c>
      <c r="N4" s="0" t="s">
        <v>306</v>
      </c>
      <c r="O4" s="0" t="s">
        <v>305</v>
      </c>
    </row>
    <row r="5" customFormat="false" ht="15" hidden="false" customHeight="false" outlineLevel="0" collapsed="false">
      <c r="B5" s="0" t="s">
        <v>304</v>
      </c>
      <c r="D5" s="0" t="s">
        <v>188</v>
      </c>
      <c r="E5" s="0" t="s">
        <v>180</v>
      </c>
      <c r="G5" s="0" t="s">
        <v>307</v>
      </c>
      <c r="H5" s="0" t="s">
        <v>308</v>
      </c>
      <c r="I5" s="0" t="s">
        <v>309</v>
      </c>
      <c r="J5" s="0" t="s">
        <v>91</v>
      </c>
      <c r="K5" s="0" t="s">
        <v>310</v>
      </c>
      <c r="L5" s="0" t="s">
        <v>65</v>
      </c>
      <c r="M5" s="0" t="s">
        <v>311</v>
      </c>
      <c r="N5" s="0" t="s">
        <v>163</v>
      </c>
    </row>
    <row r="6" customFormat="false" ht="15" hidden="false" customHeight="false" outlineLevel="0" collapsed="false">
      <c r="I6" s="0" t="s">
        <v>312</v>
      </c>
      <c r="J6" s="0" t="s">
        <v>99</v>
      </c>
      <c r="L6" s="0" t="s">
        <v>74</v>
      </c>
    </row>
    <row r="7" customFormat="false" ht="15" hidden="false" customHeight="false" outlineLevel="0" collapsed="false">
      <c r="J7" s="0" t="s">
        <v>313</v>
      </c>
      <c r="L7" s="0" t="s">
        <v>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2026-07-18T13:23:59Z</dcterms:created>
  <dc:creator>openpyxl</dc:creator>
  <dc:description/>
  <dc:language>en-US</dc:language>
  <cp:lastModifiedBy/>
  <dcterms:modified xsi:type="dcterms:W3CDTF">2026-07-18T13:23:59Z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