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993c6561104cba" /></Relationships>
</file>

<file path=xl/workbook.xml><?xml version="1.0" encoding="utf-8"?>
<x:workbook xmlns:x="http://schemas.openxmlformats.org/spreadsheetml/2006/main">
  <x:sheets>
    <x:sheet xmlns:r="http://schemas.openxmlformats.org/officeDocument/2006/relationships" name="Dashboard" sheetId="1" r:id="R4d6a59557add4664"/>
    <x:sheet xmlns:r="http://schemas.openxmlformats.org/officeDocument/2006/relationships" name="Milestone Schedule" sheetId="2" r:id="R11087f25f6164d1c"/>
    <x:sheet xmlns:r="http://schemas.openxmlformats.org/officeDocument/2006/relationships" name="Actions" sheetId="3" r:id="R2e32abe3945b4659"/>
    <x:sheet xmlns:r="http://schemas.openxmlformats.org/officeDocument/2006/relationships" name="Dependencies" sheetId="4" r:id="R2f30fbcbfaaa4ff4"/>
    <x:sheet xmlns:r="http://schemas.openxmlformats.org/officeDocument/2006/relationships" name="RAID" sheetId="5" r:id="R6fdba473b2324f3d"/>
    <x:sheet xmlns:r="http://schemas.openxmlformats.org/officeDocument/2006/relationships" name="Decisions" sheetId="6" r:id="R32e61ede3d6d473e"/>
    <x:sheet xmlns:r="http://schemas.openxmlformats.org/officeDocument/2006/relationships" name="Weekly Status" sheetId="7" r:id="Rdd4b2985b458483d"/>
    <x:sheet xmlns:r="http://schemas.openxmlformats.org/officeDocument/2006/relationships" name="Scope &amp; Guidance" sheetId="8" r:id="R2b68cb57f4eb4d31"/>
    <x:sheet xmlns:r="http://schemas.openxmlformats.org/officeDocument/2006/relationships" name="Sources" sheetId="9" r:id="Rca1e53a3e1684ff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dd mmm yyyy"/>
    <x:numFmt numFmtId="202" formatCode="0 &quot;days&quot;"/>
    <x:numFmt numFmtId="203" formatCode="dd mmm"/>
  </x:numFmts>
  <x:fonts count="23">
    <x:font>
      <x:sz val="11"/>
      <x:name val="Carlito"/>
    </x:font>
    <x:font>
      <x:b/>
      <x:sz val="18"/>
      <x:color rgb="FFFFFFFF"/>
      <x:name val="Carlito"/>
    </x:font>
    <x:font>
      <x:i/>
      <x:sz val="10"/>
      <x:color rgb="FF66717C"/>
      <x:name val="Carlito"/>
    </x:font>
    <x:font>
      <x:b/>
      <x:sz val="10"/>
      <x:color rgb="FFFFFFFF"/>
      <x:name val="Carlito"/>
    </x:font>
    <x:font>
      <x:b/>
      <x:sz val="12"/>
      <x:color rgb="FF1F2933"/>
      <x:name val="Carlito"/>
    </x:font>
    <x:font>
      <x:sz val="10"/>
      <x:color rgb="FF1F2933"/>
      <x:name val="Carlito"/>
    </x:font>
    <x:font>
      <x:b/>
      <x:sz val="9"/>
      <x:color rgb="FF8B1E1E"/>
      <x:name val="Carlito"/>
    </x:font>
    <x:font>
      <x:b/>
      <x:sz val="12"/>
      <x:name val="Carlito"/>
    </x:font>
    <x:font>
      <x:b/>
      <x:sz val="11"/>
      <x:color rgb="FF0B2A4A"/>
      <x:name val="Carlito"/>
    </x:font>
    <x:font>
      <x:b/>
      <x:sz val="18"/>
      <x:color rgb="FFFFFFFF"/>
      <x:name val="Aptos"/>
    </x:font>
    <x:font>
      <x:sz val="11"/>
      <x:name val="Aptos"/>
    </x:font>
    <x:font>
      <x:i/>
      <x:sz val="10"/>
      <x:color rgb="FF66717C"/>
      <x:name val="Aptos"/>
    </x:font>
    <x:font>
      <x:b/>
      <x:sz val="10"/>
      <x:color rgb="FFFFFFFF"/>
      <x:name val="Aptos"/>
    </x:font>
    <x:font>
      <x:b/>
      <x:sz val="12"/>
      <x:color rgb="FF1F2933"/>
      <x:name val="Aptos"/>
    </x:font>
    <x:font>
      <x:sz val="10"/>
      <x:color rgb="FF1F2933"/>
      <x:name val="Aptos"/>
    </x:font>
    <x:font>
      <x:b/>
      <x:sz val="9"/>
      <x:color rgb="FF8B1E1E"/>
      <x:name val="Aptos"/>
    </x:font>
    <x:font>
      <x:sz val="10"/>
      <x:name val="Aptos"/>
    </x:font>
    <x:font>
      <x:b/>
      <x:sz val="10"/>
      <x:color rgb="FF1F2933"/>
      <x:name val="Aptos"/>
    </x:font>
    <x:font>
      <x:b/>
      <x:sz val="10"/>
      <x:color rgb="FF8B1E1E"/>
      <x:name val="Aptos"/>
    </x:font>
    <x:font>
      <x:b/>
      <x:sz val="12"/>
      <x:name val="Aptos"/>
    </x:font>
    <x:font>
      <x:b/>
      <x:sz val="10"/>
      <x:name val="Aptos"/>
    </x:font>
    <x:font>
      <x:b/>
      <x:sz val="11"/>
      <x:color rgb="FF0B2A4A"/>
      <x:name val="Aptos"/>
    </x:font>
    <x:font>
      <x:b/>
      <x:sz val="10"/>
      <x:color rgb="FF0B2A4A"/>
      <x:name val="Aptos"/>
    </x:font>
  </x:fonts>
  <x:fills count="9">
    <x:fill>
      <x:patternFill patternType="none"/>
    </x:fill>
    <x:fill>
      <x:patternFill patternType="gray125"/>
    </x:fill>
    <x:fill>
      <x:patternFill patternType="solid">
        <x:fgColor rgb="FF0B2A4A"/>
      </x:patternFill>
    </x:fill>
    <x:fill>
      <x:patternFill patternType="solid">
        <x:fgColor rgb="FFF7F3ED"/>
      </x:patternFill>
    </x:fill>
    <x:fill>
      <x:patternFill patternType="solid">
        <x:fgColor rgb="FF173B5E"/>
      </x:patternFill>
    </x:fill>
    <x:fill>
      <x:patternFill patternType="solid">
        <x:fgColor rgb="FFF9E7B2"/>
      </x:patternFill>
    </x:fill>
    <x:fill>
      <x:patternFill patternType="solid">
        <x:fgColor rgb="FFF6D5D5"/>
      </x:patternFill>
    </x:fill>
    <x:fill>
      <x:patternFill patternType="solid">
        <x:fgColor rgb="FFDDEFE3"/>
      </x:patternFill>
    </x:fill>
    <x:fill>
      <x:patternFill patternType="solid">
        <x:fgColor rgb="FFEAF1F7"/>
      </x:patternFill>
    </x:fill>
  </x:fills>
  <x:borders count="2">
    <x:border/>
    <x:border/>
  </x:borders>
  <x:cellStyleXfs count="1">
    <x:xf numFmtId="0" fontId="0" fillId="0" borderId="0"/>
  </x:cellStyleXfs>
  <x:cellXfs count="16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horizontal="center" wrapText="1"/>
    </x:xf>
    <x:xf numFmtId="0" fontId="4" fillId="0" borderId="0" xfId="0" applyNumberFormat="1" applyFont="1" applyFill="1" applyBorder="1" applyAlignment="1">
      <x:alignment horizontal="center" vertical="center"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horizontal="center" wrapText="1"/>
    </x:xf>
    <x:xf numFmtId="0" fontId="4" fillId="0" borderId="1" xfId="0" applyNumberFormat="1" applyFont="1" applyFill="1" applyBorder="1" applyAlignment="1">
      <x:alignment horizontal="center" vertical="center" wrapText="1"/>
    </x:xf>
    <x:xf numFmtId="0" fontId="4" fillId="5" borderId="0" xfId="0" applyNumberFormat="1" applyFont="1" applyFill="1" applyBorder="1" applyAlignment="1">
      <x:alignment horizontal="center" vertical="center" wrapText="1"/>
    </x:xf>
    <x:xf numFmtId="0" fontId="4" fillId="5" borderId="1" xfId="0" applyNumberFormat="1" applyFont="1" applyFill="1" applyBorder="1" applyAlignment="1">
      <x:alignment horizontal="center" vertical="center" wrapText="1"/>
    </x:xf>
    <x:xf numFmtId="200" fontId="4" fillId="0" borderId="0" xfId="0" applyNumberFormat="1" applyFont="1" applyFill="1" applyBorder="1" applyAlignment="1">
      <x:alignment horizontal="center" vertical="center" wrapText="1"/>
    </x:xf>
    <x:xf numFmtId="200" fontId="4" fillId="0" borderId="1" xfId="0" applyNumberFormat="1" applyFont="1" applyFill="1" applyBorder="1" applyAlignment="1">
      <x:alignment horizontal="center" vertical="center" wrapText="1"/>
    </x:xf>
    <x:xf numFmtId="201" fontId="4" fillId="0" borderId="0" xfId="0" applyNumberFormat="1" applyFont="1" applyFill="1" applyBorder="1" applyAlignment="1">
      <x:alignment horizontal="center" vertical="center" wrapText="1"/>
    </x:xf>
    <x:xf numFmtId="201" fontId="4" fillId="0" borderId="1" xfId="0" applyNumberFormat="1" applyFont="1" applyFill="1" applyBorder="1" applyAlignment="1">
      <x:alignment horizontal="center" vertical="center" wrapText="1"/>
    </x:xf>
    <x:xf numFmtId="202" fontId="4" fillId="0" borderId="0" xfId="0" applyNumberFormat="1" applyFont="1" applyFill="1" applyBorder="1" applyAlignment="1">
      <x:alignment horizontal="center" vertical="center" wrapText="1"/>
    </x:xf>
    <x:xf numFmtId="202" fontId="4" fillId="0" borderId="1" xfId="0" applyNumberFormat="1" applyFont="1" applyFill="1" applyBorder="1" applyAlignment="1">
      <x:alignment horizontal="center" vertical="center" wrapText="1"/>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top" wrapText="1"/>
    </x:xf>
    <x:xf numFmtId="0" fontId="5" fillId="3" borderId="1" xfId="0" applyNumberFormat="1" applyFont="1" applyFill="1" applyBorder="1"/>
    <x:xf numFmtId="0" fontId="5" fillId="3" borderId="1" xfId="0" applyNumberFormat="1" applyFont="1" applyFill="1" applyBorder="1" applyAlignment="1">
      <x:alignment wrapText="1"/>
    </x:xf>
    <x:xf numFmtId="0" fontId="5" fillId="3"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3" borderId="0" xfId="0" applyNumberFormat="1" applyFont="1" applyFill="1" applyBorder="1" applyAlignment="1">
      <x:alignment vertical="center" wrapText="1"/>
    </x:xf>
    <x:xf numFmtId="0" fontId="0" fillId="3" borderId="1" xfId="0" applyNumberFormat="1" applyFont="1" applyFill="1" applyBorder="1" applyAlignment="1">
      <x:alignment vertical="center" wrapText="1"/>
    </x:xf>
    <x:xf numFmtId="0" fontId="0" fillId="0" borderId="0"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203" fontId="0" fillId="0" borderId="0" xfId="0" applyNumberFormat="1" applyFont="1" applyFill="1" applyBorder="1" applyAlignment="1">
      <x:alignment vertical="center" wrapText="1"/>
    </x:xf>
    <x:xf numFmtId="203" fontId="0" fillId="0" borderId="1"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201" fontId="0" fillId="0" borderId="0" xfId="0" applyNumberFormat="1" applyFont="1" applyFill="1" applyBorder="1" applyAlignment="1">
      <x:alignment vertical="center" wrapText="1"/>
    </x:xf>
    <x:xf numFmtId="201" fontId="0" fillId="0" borderId="1" xfId="0" applyNumberFormat="1" applyFont="1" applyFill="1" applyBorder="1" applyAlignment="1">
      <x:alignment vertical="center" wrapText="1"/>
    </x:xf>
    <x:xf numFmtId="0" fontId="7" fillId="0" borderId="0" xfId="0" applyNumberFormat="1" applyFont="1" applyFill="1" applyBorder="1"/>
    <x:xf numFmtId="0" fontId="7" fillId="0" borderId="0" xfId="0" applyNumberFormat="1" applyFont="1" applyFill="1" applyBorder="1" applyAlignment="1">
      <x:alignment horizontal="center"/>
    </x:xf>
    <x:xf numFmtId="0" fontId="7" fillId="0" borderId="1" xfId="0" applyNumberFormat="1" applyFont="1" applyFill="1" applyBorder="1"/>
    <x:xf numFmtId="0" fontId="7" fillId="0" borderId="1" xfId="0" applyNumberFormat="1" applyFont="1" applyFill="1" applyBorder="1" applyAlignment="1">
      <x:alignment horizontal="center"/>
    </x:xf>
    <x:xf numFmtId="0" fontId="7" fillId="5" borderId="0" xfId="0" applyNumberFormat="1" applyFont="1" applyFill="1" applyBorder="1" applyAlignment="1">
      <x:alignment horizontal="center"/>
    </x:xf>
    <x:xf numFmtId="0" fontId="7" fillId="5" borderId="1" xfId="0" applyNumberFormat="1" applyFont="1" applyFill="1" applyBorder="1" applyAlignment="1">
      <x:alignment horizontal="center"/>
    </x:xf>
    <x:xf numFmtId="0" fontId="7" fillId="7" borderId="0" xfId="0" applyNumberFormat="1" applyFont="1" applyFill="1" applyBorder="1" applyAlignment="1">
      <x:alignment horizontal="center"/>
    </x:xf>
    <x:xf numFmtId="0" fontId="7" fillId="7" borderId="1" xfId="0" applyNumberFormat="1" applyFont="1" applyFill="1" applyBorder="1" applyAlignment="1">
      <x:alignment horizontal="center"/>
    </x:xf>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wrapText="1"/>
    </x:xf>
    <x:xf numFmtId="0" fontId="0" fillId="3" borderId="1" xfId="0" applyNumberFormat="1" applyFont="1" applyFill="1" applyBorder="1" applyAlignment="1">
      <x:alignment vertical="top" wrapText="1"/>
    </x:xf>
    <x:xf numFmtId="0" fontId="0" fillId="8"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wrapText="1"/>
    </x:xf>
    <x:xf numFmtId="0" fontId="0" fillId="8" borderId="1" xfId="0" applyNumberFormat="1" applyFont="1" applyFill="1" applyBorder="1"/>
    <x:xf numFmtId="0" fontId="8" fillId="8" borderId="1" xfId="0" applyNumberFormat="1" applyFont="1" applyFill="1" applyBorder="1"/>
    <x:xf numFmtId="0" fontId="8" fillId="8" borderId="1" xfId="0" applyNumberFormat="1" applyFont="1" applyFill="1" applyBorder="1" applyAlignment="1">
      <x:alignment wrapText="1"/>
    </x:xf>
    <x:xf numFmtId="0" fontId="9" fillId="2" borderId="0" xfId="0" applyNumberFormat="1" applyFont="1" applyFill="1" applyBorder="1" applyAlignment="1">
      <x:alignment horizontal="left" vertical="center"/>
    </x:xf>
    <x:xf numFmtId="0" fontId="10" fillId="0" borderId="0" xfId="0" applyNumberFormat="1" applyFont="1" applyFill="1" applyBorder="1"/>
    <x:xf numFmtId="0" fontId="11" fillId="3" borderId="0" xfId="0" applyNumberFormat="1" applyFont="1" applyFill="1" applyBorder="1" applyAlignment="1">
      <x:alignment wrapText="1"/>
    </x:xf>
    <x:xf numFmtId="0" fontId="12" fillId="4" borderId="0" xfId="0" applyNumberFormat="1" applyFont="1" applyFill="1" applyBorder="1" applyAlignment="1">
      <x:alignment horizontal="center" vertical="center" wrapText="1"/>
    </x:xf>
    <x:xf numFmtId="0" fontId="13" fillId="5" borderId="0" xfId="0" applyNumberFormat="1" applyFont="1" applyFill="1" applyBorder="1" applyAlignment="1">
      <x:alignment horizontal="center" vertical="center" wrapText="1"/>
    </x:xf>
    <x:xf numFmtId="200" fontId="13" fillId="0" borderId="0" xfId="0" applyNumberFormat="1" applyFont="1" applyFill="1" applyBorder="1" applyAlignment="1">
      <x:alignment horizontal="center" vertical="center" wrapText="1"/>
    </x:xf>
    <x:xf numFmtId="0" fontId="13" fillId="0" borderId="0" xfId="0" applyNumberFormat="1" applyFont="1" applyFill="1" applyBorder="1" applyAlignment="1">
      <x:alignment horizontal="center" vertical="center" wrapText="1"/>
    </x:xf>
    <x:xf numFmtId="201" fontId="13" fillId="0" borderId="0" xfId="0" applyNumberFormat="1" applyFont="1" applyFill="1" applyBorder="1" applyAlignment="1">
      <x:alignment horizontal="center" vertical="center" wrapText="1"/>
    </x:xf>
    <x:xf numFmtId="202" fontId="13" fillId="0" borderId="0" xfId="0" applyNumberFormat="1" applyFont="1" applyFill="1" applyBorder="1" applyAlignment="1">
      <x:alignment horizontal="center" vertical="center" wrapText="1"/>
    </x:xf>
    <x:xf numFmtId="0" fontId="14" fillId="3" borderId="0" xfId="0" applyNumberFormat="1" applyFont="1" applyFill="1" applyBorder="1" applyAlignment="1">
      <x:alignment vertical="top" wrapText="1"/>
    </x:xf>
    <x:xf numFmtId="0" fontId="10" fillId="3" borderId="0" xfId="0" applyNumberFormat="1" applyFont="1" applyFill="1" applyBorder="1" applyAlignment="1">
      <x:alignment vertical="center" wrapText="1"/>
    </x:xf>
    <x:xf numFmtId="0" fontId="10" fillId="0" borderId="0" xfId="0" applyNumberFormat="1" applyFont="1" applyFill="1" applyBorder="1" applyAlignment="1">
      <x:alignment vertical="center" wrapText="1"/>
    </x:xf>
    <x:xf numFmtId="0" fontId="10" fillId="0" borderId="0" xfId="0" applyNumberFormat="1" applyFont="1" applyFill="1" applyBorder="1" applyAlignment="1">
      <x:alignment horizontal="center" vertical="center" wrapText="1"/>
    </x:xf>
    <x:xf numFmtId="0" fontId="15" fillId="6" borderId="0" xfId="0" applyNumberFormat="1" applyFont="1" applyFill="1" applyBorder="1" applyAlignment="1">
      <x:alignment vertical="center" wrapText="1"/>
    </x:xf>
    <x:xf numFmtId="0" fontId="9" fillId="2" borderId="1" xfId="0" applyNumberFormat="1" applyFont="1" applyFill="1" applyBorder="1" applyAlignment="1">
      <x:alignment horizontal="left" vertical="center"/>
    </x:xf>
    <x:xf numFmtId="0" fontId="10" fillId="0" borderId="1" xfId="0" applyNumberFormat="1" applyFont="1" applyFill="1" applyBorder="1"/>
    <x:xf numFmtId="0" fontId="11" fillId="3" borderId="1" xfId="0" applyNumberFormat="1" applyFont="1" applyFill="1" applyBorder="1" applyAlignment="1">
      <x:alignment wrapText="1"/>
    </x:xf>
    <x:xf numFmtId="0" fontId="12" fillId="4" borderId="1" xfId="0" applyNumberFormat="1" applyFont="1" applyFill="1" applyBorder="1" applyAlignment="1">
      <x:alignment horizontal="center" vertical="center" wrapText="1"/>
    </x:xf>
    <x:xf numFmtId="0" fontId="13" fillId="5" borderId="1" xfId="0" applyNumberFormat="1" applyFont="1" applyFill="1" applyBorder="1" applyAlignment="1">
      <x:alignment horizontal="center" vertical="center" wrapText="1"/>
    </x:xf>
    <x:xf numFmtId="200" fontId="13" fillId="0" borderId="1" xfId="0" applyNumberFormat="1" applyFont="1" applyFill="1" applyBorder="1" applyAlignment="1">
      <x:alignment horizontal="center" vertical="center" wrapText="1"/>
    </x:xf>
    <x:xf numFmtId="0" fontId="13" fillId="0" borderId="1" xfId="0" applyNumberFormat="1" applyFont="1" applyFill="1" applyBorder="1" applyAlignment="1">
      <x:alignment horizontal="center" vertical="center" wrapText="1"/>
    </x:xf>
    <x:xf numFmtId="201" fontId="13" fillId="0" borderId="1" xfId="0" applyNumberFormat="1" applyFont="1" applyFill="1" applyBorder="1" applyAlignment="1">
      <x:alignment horizontal="center" vertical="center" wrapText="1"/>
    </x:xf>
    <x:xf numFmtId="202" fontId="13" fillId="0" borderId="1" xfId="0" applyNumberFormat="1" applyFont="1" applyFill="1" applyBorder="1" applyAlignment="1">
      <x:alignment horizontal="center" vertical="center" wrapText="1"/>
    </x:xf>
    <x:xf numFmtId="0" fontId="14" fillId="3" borderId="1" xfId="0" applyNumberFormat="1" applyFont="1" applyFill="1" applyBorder="1" applyAlignment="1">
      <x:alignment vertical="top" wrapText="1"/>
    </x:xf>
    <x:xf numFmtId="0" fontId="10" fillId="3" borderId="1" xfId="0" applyNumberFormat="1" applyFont="1" applyFill="1" applyBorder="1" applyAlignment="1">
      <x:alignment vertical="center" wrapText="1"/>
    </x:xf>
    <x:xf numFmtId="0" fontId="10" fillId="0" borderId="1" xfId="0" applyNumberFormat="1" applyFont="1" applyFill="1" applyBorder="1" applyAlignment="1">
      <x:alignment vertical="center" wrapText="1"/>
    </x:xf>
    <x:xf numFmtId="0" fontId="10" fillId="0" borderId="1" xfId="0" applyNumberFormat="1" applyFont="1" applyFill="1" applyBorder="1" applyAlignment="1">
      <x:alignment horizontal="center" vertical="center" wrapText="1"/>
    </x:xf>
    <x:xf numFmtId="0" fontId="15" fillId="6" borderId="1" xfId="0" applyNumberFormat="1" applyFont="1" applyFill="1" applyBorder="1" applyAlignment="1">
      <x:alignment vertical="center" wrapText="1"/>
    </x:xf>
    <x:xf numFmtId="0" fontId="12" fillId="2" borderId="0" xfId="0" applyNumberFormat="1" applyFont="1" applyFill="1" applyBorder="1" applyAlignment="1">
      <x:alignment horizontal="left" vertical="center"/>
    </x:xf>
    <x:xf numFmtId="0" fontId="16" fillId="0" borderId="0" xfId="0" applyNumberFormat="1" applyFont="1" applyFill="1" applyBorder="1"/>
    <x:xf numFmtId="0" fontId="17" fillId="5" borderId="0" xfId="0" applyNumberFormat="1" applyFont="1" applyFill="1" applyBorder="1" applyAlignment="1">
      <x:alignment horizontal="center" vertical="center" wrapText="1"/>
    </x:xf>
    <x:xf numFmtId="200" fontId="17" fillId="0" borderId="0" xfId="0" applyNumberFormat="1" applyFont="1" applyFill="1" applyBorder="1" applyAlignment="1">
      <x:alignment horizontal="center" vertical="center" wrapText="1"/>
    </x:xf>
    <x:xf numFmtId="0" fontId="17" fillId="0" borderId="0" xfId="0" applyNumberFormat="1" applyFont="1" applyFill="1" applyBorder="1" applyAlignment="1">
      <x:alignment horizontal="center" vertical="center" wrapText="1"/>
    </x:xf>
    <x:xf numFmtId="201" fontId="17" fillId="0" borderId="0" xfId="0" applyNumberFormat="1" applyFont="1" applyFill="1" applyBorder="1" applyAlignment="1">
      <x:alignment horizontal="center" vertical="center" wrapText="1"/>
    </x:xf>
    <x:xf numFmtId="202" fontId="17" fillId="0" borderId="0" xfId="0" applyNumberFormat="1" applyFont="1" applyFill="1" applyBorder="1" applyAlignment="1">
      <x:alignment horizontal="center" vertical="center" wrapText="1"/>
    </x:xf>
    <x:xf numFmtId="0" fontId="16" fillId="3" borderId="0" xfId="0" applyNumberFormat="1" applyFont="1" applyFill="1" applyBorder="1" applyAlignment="1">
      <x:alignment vertical="center" wrapText="1"/>
    </x:xf>
    <x:xf numFmtId="0" fontId="16" fillId="0" borderId="0" xfId="0" applyNumberFormat="1" applyFont="1" applyFill="1" applyBorder="1" applyAlignment="1">
      <x:alignment vertical="center" wrapText="1"/>
    </x:xf>
    <x:xf numFmtId="0" fontId="16" fillId="0" borderId="0" xfId="0" applyNumberFormat="1" applyFont="1" applyFill="1" applyBorder="1" applyAlignment="1">
      <x:alignment horizontal="center" vertical="center" wrapText="1"/>
    </x:xf>
    <x:xf numFmtId="0" fontId="18" fillId="6" borderId="0" xfId="0" applyNumberFormat="1" applyFont="1" applyFill="1" applyBorder="1" applyAlignment="1">
      <x:alignment vertical="center" wrapText="1"/>
    </x:xf>
    <x:xf numFmtId="0" fontId="12" fillId="2" borderId="1" xfId="0" applyNumberFormat="1" applyFont="1" applyFill="1" applyBorder="1" applyAlignment="1">
      <x:alignment horizontal="left" vertical="center"/>
    </x:xf>
    <x:xf numFmtId="0" fontId="16" fillId="0" borderId="1" xfId="0" applyNumberFormat="1" applyFont="1" applyFill="1" applyBorder="1"/>
    <x:xf numFmtId="0" fontId="17" fillId="5" borderId="1" xfId="0" applyNumberFormat="1" applyFont="1" applyFill="1" applyBorder="1" applyAlignment="1">
      <x:alignment horizontal="center" vertical="center" wrapText="1"/>
    </x:xf>
    <x:xf numFmtId="200" fontId="17" fillId="0" borderId="1" xfId="0" applyNumberFormat="1" applyFont="1" applyFill="1" applyBorder="1" applyAlignment="1">
      <x:alignment horizontal="center" vertical="center" wrapText="1"/>
    </x:xf>
    <x:xf numFmtId="0" fontId="17" fillId="0" borderId="1" xfId="0" applyNumberFormat="1" applyFont="1" applyFill="1" applyBorder="1" applyAlignment="1">
      <x:alignment horizontal="center" vertical="center" wrapText="1"/>
    </x:xf>
    <x:xf numFmtId="201" fontId="17" fillId="0" borderId="1" xfId="0" applyNumberFormat="1" applyFont="1" applyFill="1" applyBorder="1" applyAlignment="1">
      <x:alignment horizontal="center" vertical="center" wrapText="1"/>
    </x:xf>
    <x:xf numFmtId="202" fontId="17" fillId="0" borderId="1" xfId="0" applyNumberFormat="1" applyFont="1" applyFill="1" applyBorder="1" applyAlignment="1">
      <x:alignment horizontal="center" vertical="center" wrapText="1"/>
    </x:xf>
    <x:xf numFmtId="0" fontId="16" fillId="3" borderId="1" xfId="0" applyNumberFormat="1" applyFont="1" applyFill="1" applyBorder="1" applyAlignment="1">
      <x:alignment vertical="center" wrapText="1"/>
    </x:xf>
    <x:xf numFmtId="0" fontId="16" fillId="0" borderId="1" xfId="0" applyNumberFormat="1" applyFont="1" applyFill="1" applyBorder="1" applyAlignment="1">
      <x:alignment vertical="center" wrapText="1"/>
    </x:xf>
    <x:xf numFmtId="0" fontId="16" fillId="0" borderId="1" xfId="0" applyNumberFormat="1" applyFont="1" applyFill="1" applyBorder="1" applyAlignment="1">
      <x:alignment horizontal="center" vertical="center" wrapText="1"/>
    </x:xf>
    <x:xf numFmtId="0" fontId="18" fillId="6" borderId="1" xfId="0" applyNumberFormat="1" applyFont="1" applyFill="1" applyBorder="1" applyAlignment="1">
      <x:alignment vertical="center" wrapText="1"/>
    </x:xf>
    <x:xf numFmtId="203" fontId="10" fillId="0" borderId="0" xfId="0" applyNumberFormat="1" applyFont="1" applyFill="1" applyBorder="1" applyAlignment="1">
      <x:alignment vertical="center" wrapText="1"/>
    </x:xf>
    <x:xf numFmtId="200" fontId="10" fillId="0" borderId="0" xfId="0" applyNumberFormat="1" applyFont="1" applyFill="1" applyBorder="1" applyAlignment="1">
      <x:alignment vertical="center" wrapText="1"/>
    </x:xf>
    <x:xf numFmtId="203" fontId="10" fillId="0" borderId="1" xfId="0" applyNumberFormat="1" applyFont="1" applyFill="1" applyBorder="1" applyAlignment="1">
      <x:alignment vertical="center" wrapText="1"/>
    </x:xf>
    <x:xf numFmtId="200" fontId="10" fillId="0" borderId="1" xfId="0" applyNumberFormat="1" applyFont="1" applyFill="1" applyBorder="1" applyAlignment="1">
      <x:alignment vertical="center" wrapText="1"/>
    </x:xf>
    <x:xf numFmtId="203" fontId="16" fillId="0" borderId="0" xfId="0" applyNumberFormat="1" applyFont="1" applyFill="1" applyBorder="1" applyAlignment="1">
      <x:alignment vertical="center" wrapText="1"/>
    </x:xf>
    <x:xf numFmtId="200" fontId="16" fillId="0" borderId="0" xfId="0" applyNumberFormat="1" applyFont="1" applyFill="1" applyBorder="1" applyAlignment="1">
      <x:alignment vertical="center" wrapText="1"/>
    </x:xf>
    <x:xf numFmtId="203" fontId="16" fillId="0" borderId="1" xfId="0" applyNumberFormat="1" applyFont="1" applyFill="1" applyBorder="1" applyAlignment="1">
      <x:alignment vertical="center" wrapText="1"/>
    </x:xf>
    <x:xf numFmtId="200" fontId="16" fillId="0" borderId="1" xfId="0" applyNumberFormat="1" applyFont="1" applyFill="1" applyBorder="1" applyAlignment="1">
      <x:alignment vertical="center" wrapText="1"/>
    </x:xf>
    <x:xf numFmtId="201" fontId="10" fillId="0" borderId="0" xfId="0" applyNumberFormat="1" applyFont="1" applyFill="1" applyBorder="1" applyAlignment="1">
      <x:alignment vertical="center" wrapText="1"/>
    </x:xf>
    <x:xf numFmtId="201" fontId="10" fillId="0" borderId="1" xfId="0" applyNumberFormat="1" applyFont="1" applyFill="1" applyBorder="1" applyAlignment="1">
      <x:alignment vertical="center" wrapText="1"/>
    </x:xf>
    <x:xf numFmtId="201" fontId="16" fillId="0" borderId="0" xfId="0" applyNumberFormat="1" applyFont="1" applyFill="1" applyBorder="1" applyAlignment="1">
      <x:alignment vertical="center" wrapText="1"/>
    </x:xf>
    <x:xf numFmtId="201" fontId="16" fillId="0" borderId="1" xfId="0" applyNumberFormat="1" applyFont="1" applyFill="1" applyBorder="1" applyAlignment="1">
      <x:alignment vertical="center" wrapText="1"/>
    </x:xf>
    <x:xf numFmtId="0" fontId="19" fillId="5" borderId="0" xfId="0" applyNumberFormat="1" applyFont="1" applyFill="1" applyBorder="1" applyAlignment="1">
      <x:alignment horizontal="center"/>
    </x:xf>
    <x:xf numFmtId="0" fontId="19" fillId="7" borderId="0" xfId="0" applyNumberFormat="1" applyFont="1" applyFill="1" applyBorder="1" applyAlignment="1">
      <x:alignment horizontal="center"/>
    </x:xf>
    <x:xf numFmtId="0" fontId="10" fillId="3" borderId="0" xfId="0" applyNumberFormat="1" applyFont="1" applyFill="1" applyBorder="1" applyAlignment="1">
      <x:alignment vertical="top" wrapText="1"/>
    </x:xf>
    <x:xf numFmtId="0" fontId="19" fillId="5" borderId="1" xfId="0" applyNumberFormat="1" applyFont="1" applyFill="1" applyBorder="1" applyAlignment="1">
      <x:alignment horizontal="center"/>
    </x:xf>
    <x:xf numFmtId="0" fontId="19" fillId="7" borderId="1" xfId="0" applyNumberFormat="1" applyFont="1" applyFill="1" applyBorder="1" applyAlignment="1">
      <x:alignment horizontal="center"/>
    </x:xf>
    <x:xf numFmtId="0" fontId="10" fillId="3" borderId="1" xfId="0" applyNumberFormat="1" applyFont="1" applyFill="1" applyBorder="1" applyAlignment="1">
      <x:alignment vertical="top" wrapText="1"/>
    </x:xf>
    <x:xf numFmtId="0" fontId="20" fillId="5" borderId="0" xfId="0" applyNumberFormat="1" applyFont="1" applyFill="1" applyBorder="1" applyAlignment="1">
      <x:alignment horizontal="center"/>
    </x:xf>
    <x:xf numFmtId="0" fontId="20" fillId="7" borderId="0" xfId="0" applyNumberFormat="1" applyFont="1" applyFill="1" applyBorder="1" applyAlignment="1">
      <x:alignment horizontal="center"/>
    </x:xf>
    <x:xf numFmtId="0" fontId="16" fillId="3" borderId="0" xfId="0" applyNumberFormat="1" applyFont="1" applyFill="1" applyBorder="1" applyAlignment="1">
      <x:alignment vertical="top" wrapText="1"/>
    </x:xf>
    <x:xf numFmtId="0" fontId="20" fillId="5" borderId="1" xfId="0" applyNumberFormat="1" applyFont="1" applyFill="1" applyBorder="1" applyAlignment="1">
      <x:alignment horizontal="center"/>
    </x:xf>
    <x:xf numFmtId="0" fontId="20" fillId="7" borderId="1" xfId="0" applyNumberFormat="1" applyFont="1" applyFill="1" applyBorder="1" applyAlignment="1">
      <x:alignment horizontal="center"/>
    </x:xf>
    <x:xf numFmtId="0" fontId="16" fillId="3" borderId="1" xfId="0" applyNumberFormat="1" applyFont="1" applyFill="1" applyBorder="1" applyAlignment="1">
      <x:alignment vertical="top" wrapText="1"/>
    </x:xf>
    <x:xf numFmtId="0" fontId="10" fillId="3" borderId="0" xfId="0" applyNumberFormat="1" applyFont="1" applyFill="1" applyBorder="1" applyAlignment="1">
      <x:alignment wrapText="1"/>
    </x:xf>
    <x:xf numFmtId="0" fontId="10" fillId="3" borderId="1" xfId="0" applyNumberFormat="1" applyFont="1" applyFill="1" applyBorder="1" applyAlignment="1">
      <x:alignment wrapText="1"/>
    </x:xf>
    <x:xf numFmtId="0" fontId="16" fillId="3" borderId="0" xfId="0" applyNumberFormat="1" applyFont="1" applyFill="1" applyBorder="1" applyAlignment="1">
      <x:alignment wrapText="1"/>
    </x:xf>
    <x:xf numFmtId="0" fontId="16" fillId="3" borderId="1" xfId="0" applyNumberFormat="1" applyFont="1" applyFill="1" applyBorder="1" applyAlignment="1">
      <x:alignment wrapText="1"/>
    </x:xf>
    <x:xf numFmtId="0" fontId="21" fillId="8" borderId="0" xfId="0" applyNumberFormat="1" applyFont="1" applyFill="1" applyBorder="1" applyAlignment="1">
      <x:alignment wrapText="1"/>
    </x:xf>
    <x:xf numFmtId="0" fontId="21" fillId="8" borderId="1" xfId="0" applyNumberFormat="1" applyFont="1" applyFill="1" applyBorder="1" applyAlignment="1">
      <x:alignment wrapText="1"/>
    </x:xf>
    <x:xf numFmtId="0" fontId="22" fillId="8" borderId="0" xfId="0" applyNumberFormat="1" applyFont="1" applyFill="1" applyBorder="1" applyAlignment="1">
      <x:alignment wrapText="1"/>
    </x:xf>
  </x:cellXfs>
  <x:cellStyles count="1">
    <x:cellStyle name="Normal" xfId="0"/>
  </x:cellStyles>
  <x:dxfs count="13">
    <x:dxf>
      <x:fill>
        <x:patternFill patternType="solid">
          <x:bgColor rgb="FFDDEFE3"/>
        </x:patternFill>
      </x:fill>
    </x:dxf>
    <x:dxf>
      <x:fill>
        <x:patternFill patternType="solid">
          <x:bgColor rgb="FFEAF1F7"/>
        </x:patternFill>
      </x:fill>
    </x:dxf>
    <x:dxf>
      <x:fill>
        <x:patternFill patternType="solid">
          <x:bgColor rgb="FFF9E7B2"/>
        </x:patternFill>
      </x:fill>
    </x:dxf>
    <x:dxf>
      <x:fill>
        <x:patternFill patternType="solid">
          <x:bgColor rgb="FFE9EEF4"/>
        </x:patternFill>
      </x:fill>
    </x:dxf>
    <x:dxf>
      <x:fill>
        <x:patternFill patternType="solid">
          <x:bgColor rgb="FFF6D5D5"/>
        </x:patternFill>
      </x:fill>
    </x:dxf>
    <x:dxf>
      <x:fill>
        <x:patternFill patternType="solid">
          <x:bgColor rgb="FFF9E7B2"/>
        </x:patternFill>
      </x:fill>
    </x:dxf>
    <x:dxf>
      <x:fill>
        <x:patternFill patternType="solid">
          <x:bgColor rgb="FFDDEFE3"/>
        </x:patternFill>
      </x:fill>
    </x:dxf>
    <x:dxf>
      <x:fill>
        <x:patternFill patternType="solid">
          <x:bgColor rgb="FFDDEFE3"/>
        </x:patternFill>
      </x:fill>
    </x:dxf>
    <x:dxf>
      <x:fill>
        <x:patternFill patternType="solid">
          <x:bgColor rgb="FFF9E7B2"/>
        </x:patternFill>
      </x:fill>
    </x:dxf>
    <x:dxf>
      <x:fill>
        <x:patternFill patternType="solid">
          <x:bgColor rgb="FFF6D5D5"/>
        </x:patternFill>
      </x:fill>
    </x:dxf>
    <x:dxf>
      <x:fill>
        <x:patternFill patternType="solid">
          <x:bgColor rgb="FFF9E7B2"/>
        </x:patternFill>
      </x:fill>
    </x:dxf>
    <x:dxf>
      <x:fill>
        <x:patternFill patternType="solid">
          <x:bgColor rgb="FFF9E7B2"/>
        </x:patternFill>
      </x:fill>
    </x:dxf>
    <x:dxf>
      <x:fill>
        <x:patternFill patternType="solid">
          <x:bgColor rgb="FFDDEFE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8dde0e5ca4c494c" /><Relationship Type="http://schemas.openxmlformats.org/officeDocument/2006/relationships/theme" Target="/xl/theme/theme1.xml" Id="R73d61e28e1044f01" /><Relationship Type="http://schemas.openxmlformats.org/officeDocument/2006/relationships/sharedStrings" Target="/xl/sharedStrings.xml" Id="R3e75ee219eb045d2" /><Relationship Type="http://schemas.openxmlformats.org/officeDocument/2006/relationships/worksheet" Target="/xl/worksheets/sheet1.xml" Id="R4d6a59557add4664" /><Relationship Type="http://schemas.openxmlformats.org/officeDocument/2006/relationships/worksheet" Target="/xl/worksheets/sheet2.xml" Id="R11087f25f6164d1c" /><Relationship Type="http://schemas.openxmlformats.org/officeDocument/2006/relationships/worksheet" Target="/xl/worksheets/sheet3.xml" Id="R2e32abe3945b4659" /><Relationship Type="http://schemas.openxmlformats.org/officeDocument/2006/relationships/worksheet" Target="/xl/worksheets/sheet4.xml" Id="R2f30fbcbfaaa4ff4" /><Relationship Type="http://schemas.openxmlformats.org/officeDocument/2006/relationships/worksheet" Target="/xl/worksheets/sheet5.xml" Id="R6fdba473b2324f3d" /><Relationship Type="http://schemas.openxmlformats.org/officeDocument/2006/relationships/worksheet" Target="/xl/worksheets/sheet6.xml" Id="R32e61ede3d6d473e" /><Relationship Type="http://schemas.openxmlformats.org/officeDocument/2006/relationships/worksheet" Target="/xl/worksheets/sheet7.xml" Id="Rdd4b2985b458483d" /><Relationship Type="http://schemas.openxmlformats.org/officeDocument/2006/relationships/worksheet" Target="/xl/worksheets/sheet8.xml" Id="R2b68cb57f4eb4d31" /><Relationship Type="http://schemas.openxmlformats.org/officeDocument/2006/relationships/worksheet" Target="/xl/worksheets/sheet9.xml" Id="Rca1e53a3e1684ffd" /></Relationships>
</file>

<file path=xl/drawings/_rels/drawing1.xml.rels>&#65279;<?xml version="1.0" encoding="utf-8"?><Relationships xmlns="http://schemas.openxmlformats.org/package/2006/relationships"><Relationship Type="http://schemas.openxmlformats.org/officeDocument/2006/relationships/chart" Target="/xl/drawings/charts/chart1.xml" Id="R10327e2ef175493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Milestone Health</a:t>
            </a:r>
          </a:p>
        </c:rich>
      </c:tx>
      <c:overlay val="0"/>
    </c:title>
    <c:autoTitleDeleted val="0"/>
    <c:plotArea>
      <c:layout/>
      <c:barChart>
        <c:barDir val="col"/>
        <c:grouping val="clustered"/>
        <c:varyColors val="0"/>
        <c:ser>
          <c:idx val="0"/>
          <c:order val="0"/>
          <c:tx>
            <c:v>Count</c:v>
          </c:tx>
          <c:cat>
            <c:strRef>
              <c:f>'Dashboard'!$E$13:$E$16</c:f>
              <c:strCache>
                <c:ptCount val="0"/>
              </c:strCache>
            </c:strRef>
          </c:cat>
          <c:val>
            <c:numRef>
              <c:f>'Dashboard'!$F$13:$F$16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6</xdr:row>
      <xdr:rowOff>0</xdr:rowOff>
    </xdr:from>
    <xdr:to>
      <xdr:col>10</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0327e2ef1754935"/>
        </a:graphicData>
      </a:graphic>
    </xdr:graphicFrame>
    <xdr:clientData/>
  </xdr:twoCellAnchor>
</xdr:wsDr>
</file>

<file path=xl/tables/table1.xml><?xml version="1.0" encoding="utf-8"?>
<x:table xmlns:x="http://schemas.openxmlformats.org/spreadsheetml/2006/main" id="1" name="MilestoneTable" displayName="MilestoneTable" ref="A4:I14" headerRowCount="1">
  <x:tableColumns count="9">
    <x:tableColumn id="1" name="ID"/>
    <x:tableColumn id="2" name="Activity / Milestone"/>
    <x:tableColumn id="3" name="Owner"/>
    <x:tableColumn id="4" name="Start"/>
    <x:tableColumn id="5" name="Baseline Finish"/>
    <x:tableColumn id="6" name="Forecast Finish"/>
    <x:tableColumn id="7" name="% Complete"/>
    <x:tableColumn id="8" name="Pred."/>
    <x:tableColumn id="9" name="Status"/>
  </x:tableColumns>
  <x:tableStyleInfo name="TableStyleMedium2" showRowStripes="1"/>
</x:table>
</file>

<file path=xl/tables/table2.xml><?xml version="1.0" encoding="utf-8"?>
<x:table xmlns:x="http://schemas.openxmlformats.org/spreadsheetml/2006/main" id="2" name="ActionsTable" displayName="ActionsTable" ref="A4:H12" headerRowCount="1">
  <x:tableColumns count="8">
    <x:tableColumn id="1" name="ID"/>
    <x:tableColumn id="2" name="Action / Deliverable"/>
    <x:tableColumn id="3" name="Owner"/>
    <x:tableColumn id="4" name="Due"/>
    <x:tableColumn id="5" name="Priority"/>
    <x:tableColumn id="6" name="Linked Milestone"/>
    <x:tableColumn id="7" name="Status"/>
    <x:tableColumn id="8" name="Closure / Notes"/>
  </x:tableColumns>
  <x:tableStyleInfo name="TableStyleMedium2" showRowStripes="1"/>
</x:table>
</file>

<file path=xl/tables/table3.xml><?xml version="1.0" encoding="utf-8"?>
<x:table xmlns:x="http://schemas.openxmlformats.org/spreadsheetml/2006/main" id="3" name="DependenciesTable" displayName="DependenciesTable" ref="A4:E9" headerRowCount="1">
  <x:tableColumns count="5">
    <x:tableColumn id="1" name="Upstream Condition"/>
    <x:tableColumn id="2" name="Dependent Work"/>
    <x:tableColumn id="3" name="Required-by Date"/>
    <x:tableColumn id="4" name="Current Confidence"/>
    <x:tableColumn id="5" name="Management Response"/>
  </x:tableColumns>
  <x:tableStyleInfo name="TableStyleMedium2" showRowStripes="1"/>
</x:table>
</file>

<file path=xl/tables/table4.xml><?xml version="1.0" encoding="utf-8"?>
<x:table xmlns:x="http://schemas.openxmlformats.org/spreadsheetml/2006/main" id="4" name="RAIDTable" displayName="RAIDTable" ref="A4:H8" headerRowCount="1">
  <x:tableColumns count="8">
    <x:tableColumn id="1" name="ID"/>
    <x:tableColumn id="2" name="Type"/>
    <x:tableColumn id="3" name="Statement"/>
    <x:tableColumn id="4" name="Probability"/>
    <x:tableColumn id="5" name="Impact"/>
    <x:tableColumn id="6" name="Owner"/>
    <x:tableColumn id="7" name="Response / Mitigation"/>
    <x:tableColumn id="8" name="Status"/>
  </x:tableColumns>
  <x:tableStyleInfo name="TableStyleMedium2" showRowStripes="1"/>
</x:table>
</file>

<file path=xl/tables/table5.xml><?xml version="1.0" encoding="utf-8"?>
<x:table xmlns:x="http://schemas.openxmlformats.org/spreadsheetml/2006/main" id="5" name="DecisionsTable" displayName="DecisionsTable" ref="A4:G7" headerRowCount="1">
  <x:tableColumns count="7">
    <x:tableColumn id="1" name="ID"/>
    <x:tableColumn id="2" name="Decision Required"/>
    <x:tableColumn id="3" name="Authority"/>
    <x:tableColumn id="4" name="Needed By"/>
    <x:tableColumn id="5" name="Status"/>
    <x:tableColumn id="6" name="Schedule / Mission Effect"/>
    <x:tableColumn id="7" name="Next Step"/>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bcd5e337ed640a0" /></Relationships>
</file>

<file path=xl/worksheets/_rels/sheet2.xml.rels>&#65279;<?xml version="1.0" encoding="utf-8"?><Relationships xmlns="http://schemas.openxmlformats.org/package/2006/relationships"><Relationship Type="http://schemas.openxmlformats.org/officeDocument/2006/relationships/table" Target="/xl/tables/table1.xml" Id="R3b9358991dcc4c07" /></Relationships>
</file>

<file path=xl/worksheets/_rels/sheet3.xml.rels>&#65279;<?xml version="1.0" encoding="utf-8"?><Relationships xmlns="http://schemas.openxmlformats.org/package/2006/relationships"><Relationship Type="http://schemas.openxmlformats.org/officeDocument/2006/relationships/table" Target="/xl/tables/table2.xml" Id="R5a9b05cab6e24c97" /></Relationships>
</file>

<file path=xl/worksheets/_rels/sheet4.xml.rels>&#65279;<?xml version="1.0" encoding="utf-8"?><Relationships xmlns="http://schemas.openxmlformats.org/package/2006/relationships"><Relationship Type="http://schemas.openxmlformats.org/officeDocument/2006/relationships/table" Target="/xl/tables/table3.xml" Id="R191e22bd25b44e76" /></Relationships>
</file>

<file path=xl/worksheets/_rels/sheet5.xml.rels>&#65279;<?xml version="1.0" encoding="utf-8"?><Relationships xmlns="http://schemas.openxmlformats.org/package/2006/relationships"><Relationship Type="http://schemas.openxmlformats.org/officeDocument/2006/relationships/table" Target="/xl/tables/table4.xml" Id="R4395b097df514fd5" /></Relationships>
</file>

<file path=xl/worksheets/_rels/sheet6.xml.rels>&#65279;<?xml version="1.0" encoding="utf-8"?><Relationships xmlns="http://schemas.openxmlformats.org/package/2006/relationships"><Relationship Type="http://schemas.openxmlformats.org/officeDocument/2006/relationships/table" Target="/xl/tables/table5.xml" Id="R1df50be7a6ea4814" /></Relationships>
</file>

<file path=xl/worksheets/sheet1.xml><?xml version="1.0" encoding="utf-8"?>
<x:worksheet xmlns:x="http://schemas.openxmlformats.org/spreadsheetml/2006/main">
  <x:sheetFormatPr defaultRowHeight="15"/>
  <x:cols>
    <x:col min="1" max="1" width="15" hidden="0" customWidth="1"/>
    <x:col min="2" max="2" width="18" hidden="0" customWidth="1"/>
    <x:col min="3" max="3" width="18"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s>
  <x:sheetData>
    <x:row r="1" ht="32" customHeight="1">
      <x:c r="A1" s="116" t="str">
        <x:v>FLOWSHUA PROJECTS LLC | NAVAL MAINTENANCE PROJECT CONTROLS</x:v>
      </x:c>
      <x:c r="B1" s="116"/>
      <x:c r="C1" s="116"/>
      <x:c r="D1" s="116"/>
      <x:c r="E1" s="116"/>
      <x:c r="F1" s="116"/>
      <x:c r="G1" s="116"/>
      <x:c r="H1" s="116"/>
      <x:c r="I1" s="116"/>
      <x:c r="J1" s="116"/>
      <x:c r="K1" s="117"/>
      <x:c r="L1" s="117"/>
      <x:c r="M1" s="117"/>
      <x:c r="N1" s="117"/>
      <x:c r="O1" s="117"/>
      <x:c r="P1" s="117"/>
      <x:c r="Q1" s="117"/>
      <x:c r="R1" s="117"/>
      <x:c r="S1" s="117"/>
      <x:c r="T1" s="117"/>
      <x:c r="U1" s="117"/>
      <x:c r="V1" s="117"/>
      <x:c r="W1" s="117"/>
      <x:c r="X1" s="117"/>
      <x:c r="Y1" s="117"/>
      <x:c r="Z1" s="117"/>
    </x:row>
    <x:row r="2" ht="28" customHeight="1">
      <x:c r="A2" s="90" t="str">
        <x:v>Illustrative work sample | Fictional, unclassified scenario | Not an official U.S. Navy form</x:v>
      </x:c>
      <x:c r="B2" s="90"/>
      <x:c r="C2" s="90"/>
      <x:c r="D2" s="90"/>
      <x:c r="E2" s="90"/>
      <x:c r="F2" s="90"/>
      <x:c r="G2" s="90"/>
      <x:c r="H2" s="90"/>
      <x:c r="I2" s="90"/>
      <x:c r="J2" s="90"/>
      <x:c r="K2" s="117"/>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x:c r="A4" s="91" t="str">
        <x:v>Overall Status</x:v>
      </x:c>
      <x:c r="B4" s="91" t="str">
        <x:v>Schedule Complete</x:v>
      </x:c>
      <x:c r="C4" s="91" t="str">
        <x:v>Open Actions</x:v>
      </x:c>
      <x:c r="D4" s="91" t="str">
        <x:v>Open Risks / Issues</x:v>
      </x:c>
      <x:c r="E4" s="91" t="str">
        <x:v>Decisions Needed</x:v>
      </x:c>
      <x:c r="F4" s="91" t="str">
        <x:v>Reporting Period</x:v>
      </x:c>
      <x:c r="G4" s="91" t="str">
        <x:v>Planned Finish</x:v>
      </x:c>
      <x:c r="H4" s="91" t="str">
        <x:v>Data Date</x:v>
      </x:c>
      <x:c r="I4" s="91" t="str">
        <x:v>Forecast Finish</x:v>
      </x:c>
      <x:c r="J4" s="91" t="str">
        <x:v>Forecast Slip</x:v>
      </x:c>
      <x:c r="K4" s="117"/>
      <x:c r="L4" s="117"/>
      <x:c r="M4" s="117"/>
      <x:c r="N4" s="117"/>
      <x:c r="O4" s="117"/>
      <x:c r="P4" s="117"/>
      <x:c r="Q4" s="117"/>
      <x:c r="R4" s="117"/>
      <x:c r="S4" s="117"/>
      <x:c r="T4" s="117"/>
      <x:c r="U4" s="117"/>
      <x:c r="V4" s="117"/>
      <x:c r="W4" s="117"/>
      <x:c r="X4" s="117"/>
      <x:c r="Y4" s="117"/>
      <x:c r="Z4" s="117"/>
    </x:row>
    <x:row r="5" ht="42" customHeight="1">
      <x:c r="A5" s="118" t="str">
        <x:f>"AMBER"</x:f>
        <x:v>AMBER</x:v>
      </x:c>
      <x:c r="B5" s="119" t="n">
        <x:f>SUM('Milestone Schedule'!H5:H14)/COUNTA('Milestone Schedule'!A5:A14)</x:f>
        <x:v>0</x:v>
      </x:c>
      <x:c r="C5" s="120" t="n">
        <x:f>COUNTIF(Actions!G5:G12,"&lt;&gt;Closed")</x:f>
        <x:v>7</x:v>
      </x:c>
      <x:c r="D5" s="120" t="n">
        <x:f>COUNTIF(RAID!H5:H8,"Open")</x:f>
        <x:v>4</x:v>
      </x:c>
      <x:c r="E5" s="120" t="n">
        <x:f>COUNTIF(Decisions!E5:E7,"Pending")</x:f>
        <x:v>2</x:v>
      </x:c>
      <x:c r="F5" s="120" t="str">
        <x:f>"Week 3 of 7"</x:f>
        <x:v>Week 3 of 7</x:v>
      </x:c>
      <x:c r="G5" s="121" t="n">
        <x:f>DATE(2026,9,18)</x:f>
        <x:v>46283</x:v>
      </x:c>
      <x:c r="H5" s="121" t="n">
        <x:f>DATE(2026,8,21)</x:f>
        <x:v>46255</x:v>
      </x:c>
      <x:c r="I5" s="121" t="n">
        <x:f>MAX('Milestone Schedule'!F5:F14)</x:f>
        <x:v>46283</x:v>
      </x:c>
      <x:c r="J5" s="122" t="n">
        <x:f>I5-G5</x:f>
        <x:v>0</x:v>
      </x:c>
      <x:c r="K5" s="117"/>
      <x:c r="L5" s="117"/>
      <x:c r="M5" s="117"/>
      <x:c r="N5" s="117"/>
      <x:c r="O5" s="117"/>
      <x:c r="P5" s="117"/>
      <x:c r="Q5" s="117"/>
      <x:c r="R5" s="117"/>
      <x:c r="S5" s="117"/>
      <x:c r="T5" s="117"/>
      <x:c r="U5" s="117"/>
      <x:c r="V5" s="117"/>
      <x:c r="W5" s="117"/>
      <x:c r="X5" s="117"/>
      <x:c r="Y5" s="117"/>
      <x:c r="Z5" s="117"/>
    </x:row>
    <x:row r="6">
      <x:c r="A6" s="117"/>
      <x:c r="B6" s="117"/>
      <x:c r="C6" s="117"/>
      <x:c r="D6" s="117"/>
      <x:c r="E6" s="117"/>
      <x:c r="F6" s="117"/>
      <x:c r="G6" s="117"/>
      <x:c r="H6" s="117"/>
      <x:c r="I6" s="117"/>
      <x:c r="J6" s="117"/>
      <x:c r="K6" s="117"/>
      <x:c r="L6" s="117"/>
      <x:c r="M6" s="117"/>
      <x:c r="N6" s="117"/>
      <x:c r="O6" s="117"/>
      <x:c r="P6" s="117"/>
      <x:c r="Q6" s="117"/>
      <x:c r="R6" s="117"/>
      <x:c r="S6" s="117"/>
      <x:c r="T6" s="117"/>
      <x:c r="U6" s="117"/>
      <x:c r="V6" s="117"/>
      <x:c r="W6" s="117"/>
      <x:c r="X6" s="117"/>
      <x:c r="Y6" s="117"/>
      <x:c r="Z6" s="117"/>
    </x:row>
    <x:row r="7">
      <x:c r="A7" s="91" t="str">
        <x:v>PROJECT OBJECTIVE</x:v>
      </x:c>
      <x:c r="B7" s="91"/>
      <x:c r="C7" s="91"/>
      <x:c r="D7" s="91"/>
      <x:c r="E7" s="91"/>
      <x:c r="F7" s="91"/>
      <x:c r="G7" s="117"/>
      <x:c r="H7" s="117"/>
      <x:c r="I7" s="117"/>
      <x:c r="J7" s="117"/>
      <x:c r="K7" s="117"/>
      <x:c r="L7" s="117"/>
      <x:c r="M7" s="117"/>
      <x:c r="N7" s="117"/>
      <x:c r="O7" s="117"/>
      <x:c r="P7" s="117"/>
      <x:c r="Q7" s="117"/>
      <x:c r="R7" s="117"/>
      <x:c r="S7" s="117"/>
      <x:c r="T7" s="117"/>
      <x:c r="U7" s="117"/>
      <x:c r="V7" s="117"/>
      <x:c r="W7" s="117"/>
      <x:c r="X7" s="117"/>
      <x:c r="Y7" s="117"/>
      <x:c r="Z7" s="117"/>
    </x:row>
    <x:row r="8">
      <x:c r="A8" s="97" t="str">
        <x:v>Coordinate planning, installation, inspection, testing, documentation, and closeout for a fictional shipboard communications equipment modernization effort while maintaining visibility of schedule, dependencies, risks, actions, and decisions.</x:v>
      </x:c>
      <x:c r="B8" s="97"/>
      <x:c r="C8" s="97"/>
      <x:c r="D8" s="97"/>
      <x:c r="E8" s="97"/>
      <x:c r="F8" s="97"/>
      <x:c r="G8" s="117"/>
      <x:c r="H8" s="117"/>
      <x:c r="I8" s="117"/>
      <x:c r="J8" s="117"/>
      <x:c r="K8" s="117"/>
      <x:c r="L8" s="117"/>
      <x:c r="M8" s="117"/>
      <x:c r="N8" s="117"/>
      <x:c r="O8" s="117"/>
      <x:c r="P8" s="117"/>
      <x:c r="Q8" s="117"/>
      <x:c r="R8" s="117"/>
      <x:c r="S8" s="117"/>
      <x:c r="T8" s="117"/>
      <x:c r="U8" s="117"/>
      <x:c r="V8" s="117"/>
      <x:c r="W8" s="117"/>
      <x:c r="X8" s="117"/>
      <x:c r="Y8" s="117"/>
      <x:c r="Z8" s="117"/>
    </x:row>
    <x:row r="9">
      <x:c r="A9" s="97"/>
      <x:c r="B9" s="97"/>
      <x:c r="C9" s="97"/>
      <x:c r="D9" s="97"/>
      <x:c r="E9" s="97"/>
      <x:c r="F9" s="97"/>
      <x:c r="G9" s="117"/>
      <x:c r="H9" s="117"/>
      <x:c r="I9" s="117"/>
      <x:c r="J9" s="117"/>
      <x:c r="K9" s="117"/>
      <x:c r="L9" s="117"/>
      <x:c r="M9" s="117"/>
      <x:c r="N9" s="117"/>
      <x:c r="O9" s="117"/>
      <x:c r="P9" s="117"/>
      <x:c r="Q9" s="117"/>
      <x:c r="R9" s="117"/>
      <x:c r="S9" s="117"/>
      <x:c r="T9" s="117"/>
      <x:c r="U9" s="117"/>
      <x:c r="V9" s="117"/>
      <x:c r="W9" s="117"/>
      <x:c r="X9" s="117"/>
      <x:c r="Y9" s="117"/>
      <x:c r="Z9" s="117"/>
    </x:row>
    <x:row r="10">
      <x:c r="A10" s="97"/>
      <x:c r="B10" s="97"/>
      <x:c r="C10" s="97"/>
      <x:c r="D10" s="97"/>
      <x:c r="E10" s="97"/>
      <x:c r="F10" s="97"/>
      <x:c r="G10" s="117"/>
      <x:c r="H10" s="117"/>
      <x:c r="I10" s="117"/>
      <x:c r="J10" s="117"/>
      <x:c r="K10" s="117"/>
      <x:c r="L10" s="117"/>
      <x:c r="M10" s="117"/>
      <x:c r="N10" s="117"/>
      <x:c r="O10" s="117"/>
      <x:c r="P10" s="117"/>
      <x:c r="Q10" s="117"/>
      <x:c r="R10" s="117"/>
      <x:c r="S10" s="117"/>
      <x:c r="T10" s="117"/>
      <x:c r="U10" s="117"/>
      <x:c r="V10" s="117"/>
      <x:c r="W10" s="117"/>
      <x:c r="X10" s="117"/>
      <x:c r="Y10" s="117"/>
      <x:c r="Z10" s="117"/>
    </x:row>
    <x:row r="11">
      <x:c r="A11" s="117"/>
      <x:c r="B11" s="117"/>
      <x:c r="C11" s="117"/>
      <x:c r="D11" s="117"/>
      <x:c r="E11" s="117"/>
      <x:c r="F11" s="117"/>
      <x:c r="G11" s="117"/>
      <x:c r="H11" s="117"/>
      <x:c r="I11" s="117"/>
      <x:c r="J11" s="117"/>
      <x:c r="K11" s="117"/>
      <x:c r="L11" s="117"/>
      <x:c r="M11" s="117"/>
      <x:c r="N11" s="117"/>
      <x:c r="O11" s="117"/>
      <x:c r="P11" s="117"/>
      <x:c r="Q11" s="117"/>
      <x:c r="R11" s="117"/>
      <x:c r="S11" s="117"/>
      <x:c r="T11" s="117"/>
      <x:c r="U11" s="117"/>
      <x:c r="V11" s="117"/>
      <x:c r="W11" s="117"/>
      <x:c r="X11" s="117"/>
      <x:c r="Y11" s="117"/>
      <x:c r="Z11" s="117"/>
    </x:row>
    <x:row r="12">
      <x:c r="A12" s="91" t="str">
        <x:v>Area</x:v>
      </x:c>
      <x:c r="B12" s="91" t="str">
        <x:v>Current Position</x:v>
      </x:c>
      <x:c r="C12" s="91" t="str">
        <x:v>Management Attention</x:v>
      </x:c>
      <x:c r="D12" s="117"/>
      <x:c r="E12" s="91" t="str">
        <x:v>Milestone Status</x:v>
      </x:c>
      <x:c r="F12" s="91" t="str">
        <x:v>Count</x:v>
      </x:c>
      <x:c r="G12" s="117"/>
      <x:c r="H12" s="117"/>
      <x:c r="I12" s="117"/>
      <x:c r="J12" s="117"/>
      <x:c r="K12" s="117"/>
      <x:c r="L12" s="117"/>
      <x:c r="M12" s="117"/>
      <x:c r="N12" s="117"/>
      <x:c r="O12" s="117"/>
      <x:c r="P12" s="117"/>
      <x:c r="Q12" s="117"/>
      <x:c r="R12" s="117"/>
      <x:c r="S12" s="117"/>
      <x:c r="T12" s="117"/>
      <x:c r="U12" s="117"/>
      <x:c r="V12" s="117"/>
      <x:c r="W12" s="117"/>
      <x:c r="X12" s="117"/>
      <x:c r="Y12" s="117"/>
      <x:c r="Z12" s="117"/>
    </x:row>
    <x:row r="13" ht="46" customHeight="1">
      <x:c r="A13" s="123" t="str">
        <x:v>Accomplishments</x:v>
      </x:c>
      <x:c r="B13" s="124" t="str">
        <x:v>Technical package review complete; long-lead material verified; ship-access coordination initiated.</x:v>
      </x:c>
      <x:c r="C13" s="124" t="str">
        <x:v>Maintain configuration-document control and close remaining access prerequisites.</x:v>
      </x:c>
      <x:c r="D13" s="117"/>
      <x:c r="E13" s="125" t="str">
        <x:v>Complete</x:v>
      </x:c>
      <x:c r="F13" s="125" t="n">
        <x:f>COUNTIF('Milestone Schedule'!I5:I14,E13)</x:f>
        <x:v>2</x:v>
      </x:c>
      <x:c r="G13" s="117"/>
      <x:c r="H13" s="117"/>
      <x:c r="I13" s="117"/>
      <x:c r="J13" s="117"/>
      <x:c r="K13" s="117"/>
      <x:c r="L13" s="117"/>
      <x:c r="M13" s="117"/>
      <x:c r="N13" s="117"/>
      <x:c r="O13" s="117"/>
      <x:c r="P13" s="117"/>
      <x:c r="Q13" s="117"/>
      <x:c r="R13" s="117"/>
      <x:c r="S13" s="117"/>
      <x:c r="T13" s="117"/>
      <x:c r="U13" s="117"/>
      <x:c r="V13" s="117"/>
      <x:c r="W13" s="117"/>
      <x:c r="X13" s="117"/>
      <x:c r="Y13" s="117"/>
      <x:c r="Z13" s="117"/>
    </x:row>
    <x:row r="14" ht="46" customHeight="1">
      <x:c r="A14" s="123" t="str">
        <x:v>Schedule</x:v>
      </x:c>
      <x:c r="B14" s="124" t="str">
        <x:v>Installation start remains forecast for 31 Aug. One predecessor activity is trending three days late.</x:v>
      </x:c>
      <x:c r="C14" s="124" t="str">
        <x:v>Resolve drawing clarification by 24 Aug to protect installation start.</x:v>
      </x:c>
      <x:c r="D14" s="117"/>
      <x:c r="E14" s="125" t="str">
        <x:v>On Track</x:v>
      </x:c>
      <x:c r="F14" s="125" t="n">
        <x:f>COUNTIF('Milestone Schedule'!I5:I14,E14)</x:f>
        <x:v>1</x:v>
      </x:c>
      <x:c r="G14" s="117"/>
      <x:c r="H14" s="117"/>
      <x:c r="I14" s="117"/>
      <x:c r="J14" s="117"/>
      <x:c r="K14" s="117"/>
      <x:c r="L14" s="117"/>
      <x:c r="M14" s="117"/>
      <x:c r="N14" s="117"/>
      <x:c r="O14" s="117"/>
      <x:c r="P14" s="117"/>
      <x:c r="Q14" s="117"/>
      <x:c r="R14" s="117"/>
      <x:c r="S14" s="117"/>
      <x:c r="T14" s="117"/>
      <x:c r="U14" s="117"/>
      <x:c r="V14" s="117"/>
      <x:c r="W14" s="117"/>
      <x:c r="X14" s="117"/>
      <x:c r="Y14" s="117"/>
      <x:c r="Z14" s="117"/>
    </x:row>
    <x:row r="15" ht="46" customHeight="1">
      <x:c r="A15" s="123" t="str">
        <x:v>Risk / Issue</x:v>
      </x:c>
      <x:c r="B15" s="124" t="str">
        <x:v>Interface-control drawing discrepancy may affect cable-routing approval.</x:v>
      </x:c>
      <x:c r="C15" s="124" t="str">
        <x:v>Engineering disposition required before removal begins.</x:v>
      </x:c>
      <x:c r="D15" s="117"/>
      <x:c r="E15" s="125" t="str">
        <x:v>At Risk</x:v>
      </x:c>
      <x:c r="F15" s="125" t="n">
        <x:f>COUNTIF('Milestone Schedule'!I5:I14,E15)</x:f>
        <x:v>2</x:v>
      </x:c>
      <x:c r="G15" s="117"/>
      <x:c r="H15" s="117"/>
      <x:c r="I15" s="117"/>
      <x:c r="J15" s="117"/>
      <x:c r="K15" s="117"/>
      <x:c r="L15" s="117"/>
      <x:c r="M15" s="117"/>
      <x:c r="N15" s="117"/>
      <x:c r="O15" s="117"/>
      <x:c r="P15" s="117"/>
      <x:c r="Q15" s="117"/>
      <x:c r="R15" s="117"/>
      <x:c r="S15" s="117"/>
      <x:c r="T15" s="117"/>
      <x:c r="U15" s="117"/>
      <x:c r="V15" s="117"/>
      <x:c r="W15" s="117"/>
      <x:c r="X15" s="117"/>
      <x:c r="Y15" s="117"/>
      <x:c r="Z15" s="117"/>
    </x:row>
    <x:row r="16" ht="46" customHeight="1">
      <x:c r="A16" s="123" t="str">
        <x:v>Decision</x:v>
      </x:c>
      <x:c r="B16" s="124" t="str">
        <x:v>Whether to authorize weekend work if material receipt slips beyond 27 Aug.</x:v>
      </x:c>
      <x:c r="C16" s="124" t="str">
        <x:v>Decision requested by 26 Aug.</x:v>
      </x:c>
      <x:c r="D16" s="117"/>
      <x:c r="E16" s="125" t="str">
        <x:v>Not Started</x:v>
      </x:c>
      <x:c r="F16" s="125" t="n">
        <x:f>COUNTIF('Milestone Schedule'!I5:I14,E16)</x:f>
        <x:v>5</x:v>
      </x:c>
      <x:c r="G16" s="117"/>
      <x:c r="H16" s="117"/>
      <x:c r="I16" s="117"/>
      <x:c r="J16" s="117"/>
      <x:c r="K16" s="117"/>
      <x:c r="L16" s="117"/>
      <x:c r="M16" s="117"/>
      <x:c r="N16" s="117"/>
      <x:c r="O16" s="117"/>
      <x:c r="P16" s="117"/>
      <x:c r="Q16" s="117"/>
      <x:c r="R16" s="117"/>
      <x:c r="S16" s="117"/>
      <x:c r="T16" s="117"/>
      <x:c r="U16" s="117"/>
      <x:c r="V16" s="117"/>
      <x:c r="W16" s="117"/>
      <x:c r="X16" s="117"/>
      <x:c r="Y16" s="117"/>
      <x:c r="Z16" s="117"/>
    </x:row>
    <x:row r="17">
      <x:c r="A17" s="117"/>
      <x:c r="B17" s="117"/>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c r="Z17" s="117"/>
    </x:row>
    <x:row r="18">
      <x:c r="A18" s="126" t="str">
        <x:v>BOUNDARY NOTICE: This workbook uses fictional names, dates, organizations, equipment, performance data, and decisions. It contains no classified information, CUI, proprietary data, real vessel identifiers, real contract numbers, or representations of official Navy approval.</x:v>
      </x:c>
      <x:c r="B18" s="126"/>
      <x:c r="C18" s="126"/>
      <x:c r="D18" s="126"/>
      <x:c r="E18" s="126"/>
      <x:c r="F18" s="126"/>
      <x:c r="G18" s="126"/>
      <x:c r="H18" s="126"/>
      <x:c r="I18" s="126"/>
      <x:c r="J18" s="126"/>
      <x:c r="K18" s="117"/>
      <x:c r="L18" s="117"/>
      <x:c r="M18" s="117"/>
      <x:c r="N18" s="117"/>
      <x:c r="O18" s="117"/>
      <x:c r="P18" s="117"/>
      <x:c r="Q18" s="117"/>
      <x:c r="R18" s="117"/>
      <x:c r="S18" s="117"/>
      <x:c r="T18" s="117"/>
      <x:c r="U18" s="117"/>
      <x:c r="V18" s="117"/>
      <x:c r="W18" s="117"/>
      <x:c r="X18" s="117"/>
      <x:c r="Y18" s="117"/>
      <x:c r="Z18" s="117"/>
    </x:row>
    <x:row r="19">
      <x:c r="A19" s="126"/>
      <x:c r="B19" s="126"/>
      <x:c r="C19" s="126"/>
      <x:c r="D19" s="126"/>
      <x:c r="E19" s="126"/>
      <x:c r="F19" s="126"/>
      <x:c r="G19" s="126"/>
      <x:c r="H19" s="126"/>
      <x:c r="I19" s="126"/>
      <x:c r="J19" s="126"/>
      <x:c r="K19" s="117"/>
      <x:c r="L19" s="117"/>
      <x:c r="M19" s="117"/>
      <x:c r="N19" s="117"/>
      <x:c r="O19" s="117"/>
      <x:c r="P19" s="117"/>
      <x:c r="Q19" s="117"/>
      <x:c r="R19" s="117"/>
      <x:c r="S19" s="117"/>
      <x:c r="T19" s="117"/>
      <x:c r="U19" s="117"/>
      <x:c r="V19" s="117"/>
      <x:c r="W19" s="117"/>
      <x:c r="X19" s="117"/>
      <x:c r="Y19" s="117"/>
      <x:c r="Z19" s="117"/>
    </x:row>
    <x:row r="20">
      <x:c r="A20" s="117"/>
      <x:c r="B20" s="117"/>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c r="Z20" s="117"/>
    </x:row>
    <x:row r="21">
      <x:c r="A21" s="117"/>
      <x:c r="B21" s="117"/>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c r="Z21" s="117"/>
    </x:row>
    <x:row r="22">
      <x:c r="A22" s="117"/>
      <x:c r="B22" s="117"/>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c r="Z22" s="117"/>
    </x:row>
    <x:row r="23">
      <x:c r="A23" s="117"/>
      <x:c r="B23" s="117"/>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c r="Z23" s="117"/>
    </x:row>
    <x:row r="24">
      <x:c r="A24" s="117"/>
      <x:c r="B24" s="117"/>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c r="Z24" s="117"/>
    </x:row>
    <x:row r="25">
      <x:c r="A25" s="117"/>
      <x:c r="B25" s="117"/>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c r="Z25" s="117"/>
    </x:row>
    <x:row r="26">
      <x:c r="A26" s="117"/>
      <x:c r="B26" s="117"/>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c r="Z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sheetData>
  <x:mergeCells>
    <x:mergeCell ref="A1:J1"/>
    <x:mergeCell ref="A2:J2"/>
    <x:mergeCell ref="A7:F7"/>
    <x:mergeCell ref="A8:F10"/>
    <x:mergeCell ref="A18:J19"/>
  </x:mergeCells>
  <x:conditionalFormatting sqref="C5:E5">
    <x:cfRule type="dataBar" priority="1">
      <x:dataBar>
        <x:cfvo type="min"/>
        <x:cfvo type="max"/>
        <x:color rgb="FFF47C20"/>
      </x:dataBar>
      <x:extLst>
        <x:ext xmlns:x14="http://schemas.microsoft.com/office/spreadsheetml/2009/9/main" uri="{B025F937-C7B1-47D3-B67F-A62EFF666E3E}">
          <x14:id>{E5D2A047-4238-8741-E2B3-85669B88D1C8}</x14:id>
        </x:ext>
      </x:extLst>
    </x:cfRule>
  </x:conditionalFormatting>
  <x:pageMargins left="0.7" right="0.7" top="0.75" bottom="0.75" header="0.3" footer="0.3"/>
  <x:drawing xmlns:r="http://schemas.openxmlformats.org/officeDocument/2006/relationships" r:id="Rcbcd5e337ed640a0"/>
  <x:extLst>
    <x:ext xmlns:x14="http://schemas.microsoft.com/office/spreadsheetml/2009/9/main" xmlns:xm="http://schemas.microsoft.com/office/excel/2006/main" uri="{78C0D931-6437-407d-A8EE-F0AAD7539E65}">
      <x14:conditionalFormattings>
        <x14:conditionalFormatting>
          <x14:cfRule type="dataBar" priority="1" id="{E5D2A047-4238-8741-E2B3-85669B88D1C8}">
            <x14:dataBar gradient="1">
              <x14:cfvo type="min"/>
              <x14:cfvo type="max"/>
              <x14:fillColor rgb="FFF47C20"/>
            </x14:dataBar>
          </x14:cfRule>
          <xm:sqref>C5:E5</xm:sqref>
        </x14:conditionalFormatting>
      </x14:conditionalFormattings>
    </x:ext>
  </x:extLst>
</x:worksheet>
</file>

<file path=xl/worksheets/sheet2.xml><?xml version="1.0" encoding="utf-8"?>
<x:worksheet xmlns:x="http://schemas.openxmlformats.org/spreadsheetml/2006/main">
  <x:sheetFormatPr defaultRowHeight="15"/>
  <x:cols>
    <x:col min="1" max="1" width="10" hidden="0" customWidth="1"/>
    <x:col min="2" max="2" width="34" hidden="0" customWidth="1"/>
    <x:col min="3" max="3" width="18" hidden="0" customWidth="1"/>
    <x:col min="4" max="4" width="13" hidden="0" customWidth="1"/>
    <x:col min="5" max="5" width="13" hidden="0" customWidth="1"/>
    <x:col min="6" max="6" width="13" hidden="0" customWidth="1"/>
    <x:col min="7" max="7" width="12" hidden="0" customWidth="1"/>
    <x:col min="8" max="8" width="12" hidden="0" customWidth="1"/>
    <x:col min="9" max="9" width="12" hidden="0" customWidth="1"/>
  </x:cols>
  <x:sheetData>
    <x:row r="1" ht="32" customHeight="1">
      <x:c r="A1" s="116" t="str">
        <x:v>2. INTEGRATED MILESTONE SCHEDULE / POA&amp;M</x:v>
      </x:c>
      <x:c r="B1" s="116"/>
      <x:c r="C1" s="116"/>
      <x:c r="D1" s="116"/>
      <x:c r="E1" s="116"/>
      <x:c r="F1" s="116"/>
      <x:c r="G1" s="116"/>
      <x:c r="H1" s="116"/>
      <x:c r="I1" s="116"/>
      <x:c r="J1" s="117"/>
      <x:c r="K1" s="117"/>
      <x:c r="L1" s="117"/>
      <x:c r="M1" s="117"/>
      <x:c r="N1" s="117"/>
      <x:c r="O1" s="117"/>
      <x:c r="P1" s="117"/>
      <x:c r="Q1" s="117"/>
      <x:c r="R1" s="117"/>
      <x:c r="S1" s="117"/>
      <x:c r="T1" s="117"/>
      <x:c r="U1" s="117"/>
      <x:c r="V1" s="117"/>
      <x:c r="W1" s="117"/>
      <x:c r="X1" s="117"/>
      <x:c r="Y1" s="117"/>
      <x:c r="Z1" s="117"/>
    </x:row>
    <x:row r="2" ht="28" customHeight="1">
      <x:c r="A2" s="90" t="str">
        <x:v>Data date: 21 Aug 2026 | Baseline duration: 45 calendar days | Forecast finish: 18 Sep 2026</x:v>
      </x:c>
      <x:c r="B2" s="90"/>
      <x:c r="C2" s="90"/>
      <x:c r="D2" s="90"/>
      <x:c r="E2" s="90"/>
      <x:c r="F2" s="90"/>
      <x:c r="G2" s="90"/>
      <x:c r="H2" s="90"/>
      <x:c r="I2" s="90"/>
      <x:c r="J2" s="117"/>
      <x:c r="K2" s="117"/>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x:c r="A4" s="91" t="str">
        <x:v>ID</x:v>
      </x:c>
      <x:c r="B4" s="91" t="str">
        <x:v>Activity / Milestone</x:v>
      </x:c>
      <x:c r="C4" s="91" t="str">
        <x:v>Owner</x:v>
      </x:c>
      <x:c r="D4" s="91" t="str">
        <x:v>Start</x:v>
      </x:c>
      <x:c r="E4" s="91" t="str">
        <x:v>Baseline Finish</x:v>
      </x:c>
      <x:c r="F4" s="91" t="str">
        <x:v>Forecast Finish</x:v>
      </x:c>
      <x:c r="G4" s="91" t="str">
        <x:v>% Complete</x:v>
      </x:c>
      <x:c r="H4" s="91" t="str">
        <x:v>Pred.</x:v>
      </x:c>
      <x:c r="I4" s="91" t="str">
        <x:v>Status</x:v>
      </x:c>
      <x:c r="J4" s="117"/>
      <x:c r="K4" s="117"/>
      <x:c r="L4" s="117"/>
      <x:c r="M4" s="117"/>
      <x:c r="N4" s="117"/>
      <x:c r="O4" s="117"/>
      <x:c r="P4" s="117"/>
      <x:c r="Q4" s="117"/>
      <x:c r="R4" s="117"/>
      <x:c r="S4" s="117"/>
      <x:c r="T4" s="117"/>
      <x:c r="U4" s="117"/>
      <x:c r="V4" s="117"/>
      <x:c r="W4" s="117"/>
      <x:c r="X4" s="117"/>
      <x:c r="Y4" s="117"/>
      <x:c r="Z4" s="117"/>
    </x:row>
    <x:row r="5">
      <x:c r="A5" s="124" t="str">
        <x:v>M-01</x:v>
      </x:c>
      <x:c r="B5" s="124" t="str">
        <x:v>Kickoff and control-baseline approval</x:v>
      </x:c>
      <x:c r="C5" s="124" t="str">
        <x:v>Program Lead</x:v>
      </x:c>
      <x:c r="D5" s="142" t="n">
        <x:v>46237</x:v>
      </x:c>
      <x:c r="E5" s="142" t="n">
        <x:v>46237</x:v>
      </x:c>
      <x:c r="F5" s="142" t="n">
        <x:v>46237</x:v>
      </x:c>
      <x:c r="G5" s="143" t="n">
        <x:v>1</x:v>
      </x:c>
      <x:c r="H5" s="124" t="str">
        <x:v>-</x:v>
      </x:c>
      <x:c r="I5" s="124" t="str">
        <x:v>Complete</x:v>
      </x:c>
      <x:c r="J5" s="117"/>
      <x:c r="K5" s="117"/>
      <x:c r="L5" s="117"/>
      <x:c r="M5" s="117"/>
      <x:c r="N5" s="117"/>
      <x:c r="O5" s="117"/>
      <x:c r="P5" s="117"/>
      <x:c r="Q5" s="117"/>
      <x:c r="R5" s="117"/>
      <x:c r="S5" s="117"/>
      <x:c r="T5" s="117"/>
      <x:c r="U5" s="117"/>
      <x:c r="V5" s="117"/>
      <x:c r="W5" s="117"/>
      <x:c r="X5" s="117"/>
      <x:c r="Y5" s="117"/>
      <x:c r="Z5" s="117"/>
    </x:row>
    <x:row r="6">
      <x:c r="A6" s="124" t="str">
        <x:v>M-02</x:v>
      </x:c>
      <x:c r="B6" s="124" t="str">
        <x:v>Technical package and configuration review</x:v>
      </x:c>
      <x:c r="C6" s="124" t="str">
        <x:v>Engineering</x:v>
      </x:c>
      <x:c r="D6" s="142" t="n">
        <x:v>46238</x:v>
      </x:c>
      <x:c r="E6" s="142" t="n">
        <x:v>46244</x:v>
      </x:c>
      <x:c r="F6" s="142" t="n">
        <x:v>46244</x:v>
      </x:c>
      <x:c r="G6" s="143" t="n">
        <x:v>1</x:v>
      </x:c>
      <x:c r="H6" s="124" t="str">
        <x:v>M-01</x:v>
      </x:c>
      <x:c r="I6" s="124" t="str">
        <x:v>Complete</x:v>
      </x:c>
      <x:c r="J6" s="117"/>
      <x:c r="K6" s="117"/>
      <x:c r="L6" s="117"/>
      <x:c r="M6" s="117"/>
      <x:c r="N6" s="117"/>
      <x:c r="O6" s="117"/>
      <x:c r="P6" s="117"/>
      <x:c r="Q6" s="117"/>
      <x:c r="R6" s="117"/>
      <x:c r="S6" s="117"/>
      <x:c r="T6" s="117"/>
      <x:c r="U6" s="117"/>
      <x:c r="V6" s="117"/>
      <x:c r="W6" s="117"/>
      <x:c r="X6" s="117"/>
      <x:c r="Y6" s="117"/>
      <x:c r="Z6" s="117"/>
    </x:row>
    <x:row r="7">
      <x:c r="A7" s="124" t="str">
        <x:v>M-03</x:v>
      </x:c>
      <x:c r="B7" s="124" t="str">
        <x:v>Material receipt and verification</x:v>
      </x:c>
      <x:c r="C7" s="124" t="str">
        <x:v>Supply</x:v>
      </x:c>
      <x:c r="D7" s="142" t="n">
        <x:v>46239</x:v>
      </x:c>
      <x:c r="E7" s="142" t="n">
        <x:v>46255</x:v>
      </x:c>
      <x:c r="F7" s="142" t="n">
        <x:v>46258</x:v>
      </x:c>
      <x:c r="G7" s="143" t="n">
        <x:v>0.85</x:v>
      </x:c>
      <x:c r="H7" s="124" t="str">
        <x:v>M-01</x:v>
      </x:c>
      <x:c r="I7" s="124" t="str">
        <x:v>At Risk</x:v>
      </x:c>
      <x:c r="J7" s="117"/>
      <x:c r="K7" s="117"/>
      <x:c r="L7" s="117"/>
      <x:c r="M7" s="117"/>
      <x:c r="N7" s="117"/>
      <x:c r="O7" s="117"/>
      <x:c r="P7" s="117"/>
      <x:c r="Q7" s="117"/>
      <x:c r="R7" s="117"/>
      <x:c r="S7" s="117"/>
      <x:c r="T7" s="117"/>
      <x:c r="U7" s="117"/>
      <x:c r="V7" s="117"/>
      <x:c r="W7" s="117"/>
      <x:c r="X7" s="117"/>
      <x:c r="Y7" s="117"/>
      <x:c r="Z7" s="117"/>
    </x:row>
    <x:row r="8">
      <x:c r="A8" s="124" t="str">
        <x:v>M-04</x:v>
      </x:c>
      <x:c r="B8" s="124" t="str">
        <x:v>Ship access and work-area readiness</x:v>
      </x:c>
      <x:c r="C8" s="124" t="str">
        <x:v>Ship POC</x:v>
      </x:c>
      <x:c r="D8" s="142" t="n">
        <x:v>46245</x:v>
      </x:c>
      <x:c r="E8" s="142" t="n">
        <x:v>46259</x:v>
      </x:c>
      <x:c r="F8" s="142" t="n">
        <x:v>46259</x:v>
      </x:c>
      <x:c r="G8" s="143" t="n">
        <x:v>0.7</x:v>
      </x:c>
      <x:c r="H8" s="124" t="str">
        <x:v>M-02</x:v>
      </x:c>
      <x:c r="I8" s="124" t="str">
        <x:v>On Track</x:v>
      </x:c>
      <x:c r="J8" s="117"/>
      <x:c r="K8" s="117"/>
      <x:c r="L8" s="117"/>
      <x:c r="M8" s="117"/>
      <x:c r="N8" s="117"/>
      <x:c r="O8" s="117"/>
      <x:c r="P8" s="117"/>
      <x:c r="Q8" s="117"/>
      <x:c r="R8" s="117"/>
      <x:c r="S8" s="117"/>
      <x:c r="T8" s="117"/>
      <x:c r="U8" s="117"/>
      <x:c r="V8" s="117"/>
      <x:c r="W8" s="117"/>
      <x:c r="X8" s="117"/>
      <x:c r="Y8" s="117"/>
      <x:c r="Z8" s="117"/>
    </x:row>
    <x:row r="9">
      <x:c r="A9" s="124" t="str">
        <x:v>M-05</x:v>
      </x:c>
      <x:c r="B9" s="124" t="str">
        <x:v>Engineering clarification / drawing disposition</x:v>
      </x:c>
      <x:c r="C9" s="124" t="str">
        <x:v>Engineering</x:v>
      </x:c>
      <x:c r="D9" s="142" t="n">
        <x:v>46252</x:v>
      </x:c>
      <x:c r="E9" s="142" t="n">
        <x:v>46258</x:v>
      </x:c>
      <x:c r="F9" s="142" t="n">
        <x:v>46260</x:v>
      </x:c>
      <x:c r="G9" s="143" t="n">
        <x:v>0.4</x:v>
      </x:c>
      <x:c r="H9" s="124" t="str">
        <x:v>M-02</x:v>
      </x:c>
      <x:c r="I9" s="124" t="str">
        <x:v>At Risk</x:v>
      </x:c>
      <x:c r="J9" s="117"/>
      <x:c r="K9" s="117"/>
      <x:c r="L9" s="117"/>
      <x:c r="M9" s="117"/>
      <x:c r="N9" s="117"/>
      <x:c r="O9" s="117"/>
      <x:c r="P9" s="117"/>
      <x:c r="Q9" s="117"/>
      <x:c r="R9" s="117"/>
      <x:c r="S9" s="117"/>
      <x:c r="T9" s="117"/>
      <x:c r="U9" s="117"/>
      <x:c r="V9" s="117"/>
      <x:c r="W9" s="117"/>
      <x:c r="X9" s="117"/>
      <x:c r="Y9" s="117"/>
      <x:c r="Z9" s="117"/>
    </x:row>
    <x:row r="10">
      <x:c r="A10" s="124" t="str">
        <x:v>M-06</x:v>
      </x:c>
      <x:c r="B10" s="124" t="str">
        <x:v>Legacy equipment removal</x:v>
      </x:c>
      <x:c r="C10" s="124" t="str">
        <x:v>Install Team</x:v>
      </x:c>
      <x:c r="D10" s="142" t="n">
        <x:v>46265</x:v>
      </x:c>
      <x:c r="E10" s="142" t="n">
        <x:v>46267</x:v>
      </x:c>
      <x:c r="F10" s="142" t="n">
        <x:v>46267</x:v>
      </x:c>
      <x:c r="G10" s="143" t="n">
        <x:v>0</x:v>
      </x:c>
      <x:c r="H10" s="124" t="str">
        <x:v>M-03,M-04,M-05</x:v>
      </x:c>
      <x:c r="I10" s="124" t="str">
        <x:v>Not Started</x:v>
      </x:c>
      <x:c r="J10" s="117"/>
      <x:c r="K10" s="117"/>
      <x:c r="L10" s="117"/>
      <x:c r="M10" s="117"/>
      <x:c r="N10" s="117"/>
      <x:c r="O10" s="117"/>
      <x:c r="P10" s="117"/>
      <x:c r="Q10" s="117"/>
      <x:c r="R10" s="117"/>
      <x:c r="S10" s="117"/>
      <x:c r="T10" s="117"/>
      <x:c r="U10" s="117"/>
      <x:c r="V10" s="117"/>
      <x:c r="W10" s="117"/>
      <x:c r="X10" s="117"/>
      <x:c r="Y10" s="117"/>
      <x:c r="Z10" s="117"/>
    </x:row>
    <x:row r="11">
      <x:c r="A11" s="124" t="str">
        <x:v>M-07</x:v>
      </x:c>
      <x:c r="B11" s="124" t="str">
        <x:v>Replacement equipment installation</x:v>
      </x:c>
      <x:c r="C11" s="124" t="str">
        <x:v>Install Team</x:v>
      </x:c>
      <x:c r="D11" s="142" t="n">
        <x:v>46268</x:v>
      </x:c>
      <x:c r="E11" s="142" t="n">
        <x:v>46273</x:v>
      </x:c>
      <x:c r="F11" s="142" t="n">
        <x:v>46273</x:v>
      </x:c>
      <x:c r="G11" s="143" t="n">
        <x:v>0</x:v>
      </x:c>
      <x:c r="H11" s="124" t="str">
        <x:v>M-06</x:v>
      </x:c>
      <x:c r="I11" s="124" t="str">
        <x:v>Not Started</x:v>
      </x:c>
      <x:c r="J11" s="117"/>
      <x:c r="K11" s="117"/>
      <x:c r="L11" s="117"/>
      <x:c r="M11" s="117"/>
      <x:c r="N11" s="117"/>
      <x:c r="O11" s="117"/>
      <x:c r="P11" s="117"/>
      <x:c r="Q11" s="117"/>
      <x:c r="R11" s="117"/>
      <x:c r="S11" s="117"/>
      <x:c r="T11" s="117"/>
      <x:c r="U11" s="117"/>
      <x:c r="V11" s="117"/>
      <x:c r="W11" s="117"/>
      <x:c r="X11" s="117"/>
      <x:c r="Y11" s="117"/>
      <x:c r="Z11" s="117"/>
    </x:row>
    <x:row r="12">
      <x:c r="A12" s="124" t="str">
        <x:v>M-08</x:v>
      </x:c>
      <x:c r="B12" s="124" t="str">
        <x:v>Quality inspection and discrepancy correction</x:v>
      </x:c>
      <x:c r="C12" s="124" t="str">
        <x:v>Quality</x:v>
      </x:c>
      <x:c r="D12" s="142" t="n">
        <x:v>46274</x:v>
      </x:c>
      <x:c r="E12" s="142" t="n">
        <x:v>46276</x:v>
      </x:c>
      <x:c r="F12" s="142" t="n">
        <x:v>46276</x:v>
      </x:c>
      <x:c r="G12" s="143" t="n">
        <x:v>0</x:v>
      </x:c>
      <x:c r="H12" s="124" t="str">
        <x:v>M-07</x:v>
      </x:c>
      <x:c r="I12" s="124" t="str">
        <x:v>Not Started</x:v>
      </x:c>
      <x:c r="J12" s="117"/>
      <x:c r="K12" s="117"/>
      <x:c r="L12" s="117"/>
      <x:c r="M12" s="117"/>
      <x:c r="N12" s="117"/>
      <x:c r="O12" s="117"/>
      <x:c r="P12" s="117"/>
      <x:c r="Q12" s="117"/>
      <x:c r="R12" s="117"/>
      <x:c r="S12" s="117"/>
      <x:c r="T12" s="117"/>
      <x:c r="U12" s="117"/>
      <x:c r="V12" s="117"/>
      <x:c r="W12" s="117"/>
      <x:c r="X12" s="117"/>
      <x:c r="Y12" s="117"/>
      <x:c r="Z12" s="117"/>
    </x:row>
    <x:row r="13">
      <x:c r="A13" s="124" t="str">
        <x:v>M-09</x:v>
      </x:c>
      <x:c r="B13" s="124" t="str">
        <x:v>Operational test and acceptance recommendation</x:v>
      </x:c>
      <x:c r="C13" s="124" t="str">
        <x:v>Test Lead</x:v>
      </x:c>
      <x:c r="D13" s="142" t="n">
        <x:v>46277</x:v>
      </x:c>
      <x:c r="E13" s="142" t="n">
        <x:v>46279</x:v>
      </x:c>
      <x:c r="F13" s="142" t="n">
        <x:v>46279</x:v>
      </x:c>
      <x:c r="G13" s="143" t="n">
        <x:v>0</x:v>
      </x:c>
      <x:c r="H13" s="124" t="str">
        <x:v>M-08</x:v>
      </x:c>
      <x:c r="I13" s="124" t="str">
        <x:v>Not Started</x:v>
      </x:c>
      <x:c r="J13" s="117"/>
      <x:c r="K13" s="117"/>
      <x:c r="L13" s="117"/>
      <x:c r="M13" s="117"/>
      <x:c r="N13" s="117"/>
      <x:c r="O13" s="117"/>
      <x:c r="P13" s="117"/>
      <x:c r="Q13" s="117"/>
      <x:c r="R13" s="117"/>
      <x:c r="S13" s="117"/>
      <x:c r="T13" s="117"/>
      <x:c r="U13" s="117"/>
      <x:c r="V13" s="117"/>
      <x:c r="W13" s="117"/>
      <x:c r="X13" s="117"/>
      <x:c r="Y13" s="117"/>
      <x:c r="Z13" s="117"/>
    </x:row>
    <x:row r="14">
      <x:c r="A14" s="124" t="str">
        <x:v>M-10</x:v>
      </x:c>
      <x:c r="B14" s="124" t="str">
        <x:v>Configuration records and closeout package</x:v>
      </x:c>
      <x:c r="C14" s="124" t="str">
        <x:v>Doc Control</x:v>
      </x:c>
      <x:c r="D14" s="142" t="n">
        <x:v>46280</x:v>
      </x:c>
      <x:c r="E14" s="142" t="n">
        <x:v>46283</x:v>
      </x:c>
      <x:c r="F14" s="142" t="n">
        <x:v>46283</x:v>
      </x:c>
      <x:c r="G14" s="143" t="n">
        <x:v>0</x:v>
      </x:c>
      <x:c r="H14" s="124" t="str">
        <x:v>M-09</x:v>
      </x:c>
      <x:c r="I14" s="124" t="str">
        <x:v>Not Started</x:v>
      </x:c>
      <x:c r="J14" s="117"/>
      <x:c r="K14" s="117"/>
      <x:c r="L14" s="117"/>
      <x:c r="M14" s="117"/>
      <x:c r="N14" s="117"/>
      <x:c r="O14" s="117"/>
      <x:c r="P14" s="117"/>
      <x:c r="Q14" s="117"/>
      <x:c r="R14" s="117"/>
      <x:c r="S14" s="117"/>
      <x:c r="T14" s="117"/>
      <x:c r="U14" s="117"/>
      <x:c r="V14" s="117"/>
      <x:c r="W14" s="117"/>
      <x:c r="X14" s="117"/>
      <x:c r="Y14" s="117"/>
      <x:c r="Z14" s="117"/>
    </x:row>
    <x:row r="15">
      <x:c r="A15" s="117"/>
      <x:c r="B15" s="117"/>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c r="Z15" s="117"/>
    </x:row>
    <x:row r="16">
      <x:c r="A16" s="117"/>
      <x:c r="B16" s="117"/>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c r="Z16" s="117"/>
    </x:row>
    <x:row r="17">
      <x:c r="A17" s="91" t="str">
        <x:v>Exception</x:v>
      </x:c>
      <x:c r="B17" s="91" t="str">
        <x:v>Downstream Effect</x:v>
      </x:c>
      <x:c r="C17" s="91" t="str">
        <x:v>Recovery / Containment</x:v>
      </x:c>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c r="Z17" s="117"/>
    </x:row>
    <x:row r="18" ht="58" customHeight="1">
      <x:c r="A18" s="124" t="str">
        <x:v>Material verification forecast moved from 21 Aug to 24 Aug.</x:v>
      </x:c>
      <x:c r="B18" s="124" t="str">
        <x:v>Consumes three days of available float before removal start.</x:v>
      </x:c>
      <x:c r="C18" s="124" t="str">
        <x:v>Daily supplier follow-up; pre-stage received components; prepare weekend-work decision if receipt slips beyond 27 Aug.</x:v>
      </x:c>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c r="Z18" s="117"/>
    </x:row>
    <x:row r="19" ht="58" customHeight="1">
      <x:c r="A19" s="124" t="str">
        <x:v>Engineering clarification forecast moved from 24 Aug to 26 Aug.</x:v>
      </x:c>
      <x:c r="B19" s="124" t="str">
        <x:v>May delay cable-routing approval and block removal authorization.</x:v>
      </x:c>
      <x:c r="C19" s="124" t="str">
        <x:v>Hold focused engineering review on 24 Aug; escalate unresolved disposition by close of business.</x:v>
      </x:c>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c r="Z19" s="117"/>
    </x:row>
    <x:row r="20">
      <x:c r="A20" s="117"/>
      <x:c r="B20" s="117"/>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c r="Z20" s="117"/>
    </x:row>
    <x:row r="21">
      <x:c r="A21" s="117"/>
      <x:c r="B21" s="117"/>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c r="Z21" s="117"/>
    </x:row>
    <x:row r="22">
      <x:c r="A22" s="117"/>
      <x:c r="B22" s="117"/>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c r="Z22" s="117"/>
    </x:row>
    <x:row r="23">
      <x:c r="A23" s="117"/>
      <x:c r="B23" s="117"/>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c r="Z23" s="117"/>
    </x:row>
    <x:row r="24">
      <x:c r="A24" s="117"/>
      <x:c r="B24" s="117"/>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c r="Z24" s="117"/>
    </x:row>
    <x:row r="25">
      <x:c r="A25" s="117"/>
      <x:c r="B25" s="117"/>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c r="Z25" s="117"/>
    </x:row>
    <x:row r="26">
      <x:c r="A26" s="117"/>
      <x:c r="B26" s="117"/>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c r="Z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sheetData>
  <x:mergeCells>
    <x:mergeCell ref="A1:I1"/>
    <x:mergeCell ref="A2:I2"/>
  </x:mergeCells>
  <x:conditionalFormatting sqref="G5:G14">
    <x:cfRule type="dataBar" priority="1">
      <x:dataBar>
        <x:cfvo type="min"/>
        <x:cfvo type="max"/>
        <x:color rgb="FF173B5E"/>
      </x:dataBar>
      <x:extLst>
        <x:ext xmlns:x14="http://schemas.microsoft.com/office/spreadsheetml/2009/9/main" uri="{B025F937-C7B1-47D3-B67F-A62EFF666E3E}">
          <x14:id>{7D445076-8426-601C-EE48-58D0F3C138EA}</x14:id>
        </x:ext>
      </x:extLst>
    </x:cfRule>
  </x:conditionalFormatting>
  <x:conditionalFormatting sqref="I5:I14">
    <x:cfRule type="expression" dxfId="0" priority="2">
      <x:formula>I5="Complete"</x:formula>
    </x:cfRule>
    <x:cfRule type="expression" dxfId="1" priority="3">
      <x:formula>I5="On Track"</x:formula>
    </x:cfRule>
    <x:cfRule type="expression" dxfId="2" priority="4">
      <x:formula>I5="At Risk"</x:formula>
    </x:cfRule>
    <x:cfRule type="expression" dxfId="3" priority="5">
      <x:formula>I5="Not Started"</x:formula>
    </x:cfRule>
  </x:conditionalFormatting>
  <x:dataValidations count="1">
    <x:dataValidation type="list" sqref="I5:I14">
      <x:formula1>"Complete,On Track,At Risk,Not Started"</x:formula1>
    </x:dataValidation>
  </x:dataValidations>
  <x:pageMargins left="0.7" right="0.7" top="0.75" bottom="0.75" header="0.3" footer="0.3"/>
  <x:tableParts count="1">
    <x:tablePart xmlns:r="http://schemas.openxmlformats.org/officeDocument/2006/relationships" r:id="R3b9358991dcc4c07"/>
  </x:tableParts>
  <x:extLst>
    <x:ext xmlns:x14="http://schemas.microsoft.com/office/spreadsheetml/2009/9/main" xmlns:xm="http://schemas.microsoft.com/office/excel/2006/main" uri="{78C0D931-6437-407d-A8EE-F0AAD7539E65}">
      <x14:conditionalFormattings>
        <x14:conditionalFormatting>
          <x14:cfRule type="dataBar" priority="1" id="{7D445076-8426-601C-EE48-58D0F3C138EA}">
            <x14:dataBar gradient="1">
              <x14:cfvo type="min"/>
              <x14:cfvo type="max"/>
              <x14:fillColor rgb="FF173B5E"/>
            </x14:dataBar>
          </x14:cfRule>
          <xm:sqref>G5:G14</xm:sqref>
        </x14:conditionalFormatting>
      </x14:conditionalFormattings>
    </x:ext>
  </x:extLst>
</x:worksheet>
</file>

<file path=xl/worksheets/sheet3.xml><?xml version="1.0" encoding="utf-8"?>
<x:worksheet xmlns:x="http://schemas.openxmlformats.org/spreadsheetml/2006/main">
  <x:sheetFormatPr defaultRowHeight="15"/>
  <x:cols>
    <x:col min="1" max="1" width="10" hidden="0" customWidth="1"/>
    <x:col min="2" max="2" width="36" hidden="0" customWidth="1"/>
    <x:col min="3" max="3" width="18" hidden="0" customWidth="1"/>
    <x:col min="4" max="4" width="14" hidden="0" customWidth="1"/>
    <x:col min="5" max="5" width="14" hidden="0" customWidth="1"/>
    <x:col min="6" max="6" width="14" hidden="0" customWidth="1"/>
    <x:col min="7" max="7" width="14" hidden="0" customWidth="1"/>
    <x:col min="8" max="8" width="34" hidden="0" customWidth="1"/>
  </x:cols>
  <x:sheetData>
    <x:row r="1" ht="32" customHeight="1">
      <x:c r="A1" s="116" t="str">
        <x:v>3A. ACTION AND DELIVERABLE CONTROL LOG</x:v>
      </x:c>
      <x:c r="B1" s="116"/>
      <x:c r="C1" s="116"/>
      <x:c r="D1" s="116"/>
      <x:c r="E1" s="116"/>
      <x:c r="F1" s="116"/>
      <x:c r="G1" s="116"/>
      <x:c r="H1" s="116"/>
      <x:c r="I1" s="117"/>
      <x:c r="J1" s="117"/>
      <x:c r="K1" s="117"/>
      <x:c r="L1" s="117"/>
      <x:c r="M1" s="117"/>
      <x:c r="N1" s="117"/>
      <x:c r="O1" s="117"/>
      <x:c r="P1" s="117"/>
      <x:c r="Q1" s="117"/>
      <x:c r="R1" s="117"/>
      <x:c r="S1" s="117"/>
      <x:c r="T1" s="117"/>
      <x:c r="U1" s="117"/>
      <x:c r="V1" s="117"/>
      <x:c r="W1" s="117"/>
      <x:c r="X1" s="117"/>
      <x:c r="Y1" s="117"/>
      <x:c r="Z1" s="117"/>
    </x:row>
    <x:row r="2">
      <x:c r="A2" s="117"/>
      <x:c r="B2" s="117"/>
      <x:c r="C2" s="117"/>
      <x:c r="D2" s="117"/>
      <x:c r="E2" s="117"/>
      <x:c r="F2" s="117"/>
      <x:c r="G2" s="117"/>
      <x:c r="H2" s="117"/>
      <x:c r="I2" s="117"/>
      <x:c r="J2" s="117"/>
      <x:c r="K2" s="117"/>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x:c r="A4" s="91" t="str">
        <x:v>ID</x:v>
      </x:c>
      <x:c r="B4" s="91" t="str">
        <x:v>Action / Deliverable</x:v>
      </x:c>
      <x:c r="C4" s="91" t="str">
        <x:v>Owner</x:v>
      </x:c>
      <x:c r="D4" s="91" t="str">
        <x:v>Due</x:v>
      </x:c>
      <x:c r="E4" s="91" t="str">
        <x:v>Priority</x:v>
      </x:c>
      <x:c r="F4" s="91" t="str">
        <x:v>Linked Milestone</x:v>
      </x:c>
      <x:c r="G4" s="91" t="str">
        <x:v>Status</x:v>
      </x:c>
      <x:c r="H4" s="91" t="str">
        <x:v>Closure / Notes</x:v>
      </x:c>
      <x:c r="I4" s="117"/>
      <x:c r="J4" s="117"/>
      <x:c r="K4" s="117"/>
      <x:c r="L4" s="117"/>
      <x:c r="M4" s="117"/>
      <x:c r="N4" s="117"/>
      <x:c r="O4" s="117"/>
      <x:c r="P4" s="117"/>
      <x:c r="Q4" s="117"/>
      <x:c r="R4" s="117"/>
      <x:c r="S4" s="117"/>
      <x:c r="T4" s="117"/>
      <x:c r="U4" s="117"/>
      <x:c r="V4" s="117"/>
      <x:c r="W4" s="117"/>
      <x:c r="X4" s="117"/>
      <x:c r="Y4" s="117"/>
      <x:c r="Z4" s="117"/>
    </x:row>
    <x:row r="5">
      <x:c r="A5" s="124" t="str">
        <x:v>A-014</x:v>
      </x:c>
      <x:c r="B5" s="124" t="str">
        <x:v>Confirm final material receipt date</x:v>
      </x:c>
      <x:c r="C5" s="124" t="str">
        <x:v>Supply Lead</x:v>
      </x:c>
      <x:c r="D5" s="148" t="n">
        <x:v>46258</x:v>
      </x:c>
      <x:c r="E5" s="124" t="str">
        <x:v>High</x:v>
      </x:c>
      <x:c r="F5" s="124" t="str">
        <x:v>M-03</x:v>
      </x:c>
      <x:c r="G5" s="124" t="str">
        <x:v>Open</x:v>
      </x:c>
      <x:c r="H5" s="124" t="str">
        <x:v>Escalate if no carrier confirmation by 22 Aug.</x:v>
      </x:c>
      <x:c r="I5" s="117"/>
      <x:c r="J5" s="117"/>
      <x:c r="K5" s="117"/>
      <x:c r="L5" s="117"/>
      <x:c r="M5" s="117"/>
      <x:c r="N5" s="117"/>
      <x:c r="O5" s="117"/>
      <x:c r="P5" s="117"/>
      <x:c r="Q5" s="117"/>
      <x:c r="R5" s="117"/>
      <x:c r="S5" s="117"/>
      <x:c r="T5" s="117"/>
      <x:c r="U5" s="117"/>
      <x:c r="V5" s="117"/>
      <x:c r="W5" s="117"/>
      <x:c r="X5" s="117"/>
      <x:c r="Y5" s="117"/>
      <x:c r="Z5" s="117"/>
    </x:row>
    <x:row r="6">
      <x:c r="A6" s="124" t="str">
        <x:v>A-015</x:v>
      </x:c>
      <x:c r="B6" s="124" t="str">
        <x:v>Issue engineering disposition for cable-routing discrepancy</x:v>
      </x:c>
      <x:c r="C6" s="124" t="str">
        <x:v>Engineering Lead</x:v>
      </x:c>
      <x:c r="D6" s="148" t="n">
        <x:v>46258</x:v>
      </x:c>
      <x:c r="E6" s="124" t="str">
        <x:v>High</x:v>
      </x:c>
      <x:c r="F6" s="124" t="str">
        <x:v>M-05</x:v>
      </x:c>
      <x:c r="G6" s="124" t="str">
        <x:v>Open</x:v>
      </x:c>
      <x:c r="H6" s="124" t="str">
        <x:v>Required before removal authorization.</x:v>
      </x:c>
      <x:c r="I6" s="117"/>
      <x:c r="J6" s="117"/>
      <x:c r="K6" s="117"/>
      <x:c r="L6" s="117"/>
      <x:c r="M6" s="117"/>
      <x:c r="N6" s="117"/>
      <x:c r="O6" s="117"/>
      <x:c r="P6" s="117"/>
      <x:c r="Q6" s="117"/>
      <x:c r="R6" s="117"/>
      <x:c r="S6" s="117"/>
      <x:c r="T6" s="117"/>
      <x:c r="U6" s="117"/>
      <x:c r="V6" s="117"/>
      <x:c r="W6" s="117"/>
      <x:c r="X6" s="117"/>
      <x:c r="Y6" s="117"/>
      <x:c r="Z6" s="117"/>
    </x:row>
    <x:row r="7">
      <x:c r="A7" s="124" t="str">
        <x:v>A-016</x:v>
      </x:c>
      <x:c r="B7" s="124" t="str">
        <x:v>Approve shipboard access roster</x:v>
      </x:c>
      <x:c r="C7" s="124" t="str">
        <x:v>Ship POC</x:v>
      </x:c>
      <x:c r="D7" s="148" t="n">
        <x:v>46259</x:v>
      </x:c>
      <x:c r="E7" s="124" t="str">
        <x:v>Med</x:v>
      </x:c>
      <x:c r="F7" s="124" t="str">
        <x:v>M-04</x:v>
      </x:c>
      <x:c r="G7" s="124" t="str">
        <x:v>In Work</x:v>
      </x:c>
      <x:c r="H7" s="124" t="str">
        <x:v>Two technician credentials pending.</x:v>
      </x:c>
      <x:c r="I7" s="117"/>
      <x:c r="J7" s="117"/>
      <x:c r="K7" s="117"/>
      <x:c r="L7" s="117"/>
      <x:c r="M7" s="117"/>
      <x:c r="N7" s="117"/>
      <x:c r="O7" s="117"/>
      <x:c r="P7" s="117"/>
      <x:c r="Q7" s="117"/>
      <x:c r="R7" s="117"/>
      <x:c r="S7" s="117"/>
      <x:c r="T7" s="117"/>
      <x:c r="U7" s="117"/>
      <x:c r="V7" s="117"/>
      <x:c r="W7" s="117"/>
      <x:c r="X7" s="117"/>
      <x:c r="Y7" s="117"/>
      <x:c r="Z7" s="117"/>
    </x:row>
    <x:row r="8">
      <x:c r="A8" s="124" t="str">
        <x:v>A-017</x:v>
      </x:c>
      <x:c r="B8" s="124" t="str">
        <x:v>Validate calibrated test-equipment availability</x:v>
      </x:c>
      <x:c r="C8" s="124" t="str">
        <x:v>Test Lead</x:v>
      </x:c>
      <x:c r="D8" s="148" t="n">
        <x:v>46262</x:v>
      </x:c>
      <x:c r="E8" s="124" t="str">
        <x:v>Med</x:v>
      </x:c>
      <x:c r="F8" s="124" t="str">
        <x:v>M-09</x:v>
      </x:c>
      <x:c r="G8" s="124" t="str">
        <x:v>Open</x:v>
      </x:c>
      <x:c r="H8" s="124" t="str">
        <x:v>Reserve backup unit if primary remains committed.</x:v>
      </x:c>
      <x:c r="I8" s="117"/>
      <x:c r="J8" s="117"/>
      <x:c r="K8" s="117"/>
      <x:c r="L8" s="117"/>
      <x:c r="M8" s="117"/>
      <x:c r="N8" s="117"/>
      <x:c r="O8" s="117"/>
      <x:c r="P8" s="117"/>
      <x:c r="Q8" s="117"/>
      <x:c r="R8" s="117"/>
      <x:c r="S8" s="117"/>
      <x:c r="T8" s="117"/>
      <x:c r="U8" s="117"/>
      <x:c r="V8" s="117"/>
      <x:c r="W8" s="117"/>
      <x:c r="X8" s="117"/>
      <x:c r="Y8" s="117"/>
      <x:c r="Z8" s="117"/>
    </x:row>
    <x:row r="9">
      <x:c r="A9" s="124" t="str">
        <x:v>A-018</x:v>
      </x:c>
      <x:c r="B9" s="124" t="str">
        <x:v>Update installation checklist with disposition changes</x:v>
      </x:c>
      <x:c r="C9" s="124" t="str">
        <x:v>Doc Control</x:v>
      </x:c>
      <x:c r="D9" s="148" t="n">
        <x:v>46261</x:v>
      </x:c>
      <x:c r="E9" s="124" t="str">
        <x:v>Med</x:v>
      </x:c>
      <x:c r="F9" s="124" t="str">
        <x:v>M-05</x:v>
      </x:c>
      <x:c r="G9" s="124" t="str">
        <x:v>Open</x:v>
      </x:c>
      <x:c r="H9" s="124" t="str">
        <x:v>Publish controlled revision after engineering approval.</x:v>
      </x:c>
      <x:c r="I9" s="117"/>
      <x:c r="J9" s="117"/>
      <x:c r="K9" s="117"/>
      <x:c r="L9" s="117"/>
      <x:c r="M9" s="117"/>
      <x:c r="N9" s="117"/>
      <x:c r="O9" s="117"/>
      <x:c r="P9" s="117"/>
      <x:c r="Q9" s="117"/>
      <x:c r="R9" s="117"/>
      <x:c r="S9" s="117"/>
      <x:c r="T9" s="117"/>
      <x:c r="U9" s="117"/>
      <x:c r="V9" s="117"/>
      <x:c r="W9" s="117"/>
      <x:c r="X9" s="117"/>
      <x:c r="Y9" s="117"/>
      <x:c r="Z9" s="117"/>
    </x:row>
    <x:row r="10">
      <x:c r="A10" s="124" t="str">
        <x:v>A-019</x:v>
      </x:c>
      <x:c r="B10" s="124" t="str">
        <x:v>Prepare weekend-work impact recommendation</x:v>
      </x:c>
      <x:c r="C10" s="124" t="str">
        <x:v>Project Controls</x:v>
      </x:c>
      <x:c r="D10" s="148" t="n">
        <x:v>46260</x:v>
      </x:c>
      <x:c r="E10" s="124" t="str">
        <x:v>Med</x:v>
      </x:c>
      <x:c r="F10" s="124" t="str">
        <x:v>M-03</x:v>
      </x:c>
      <x:c r="G10" s="124" t="str">
        <x:v>In Work</x:v>
      </x:c>
      <x:c r="H10" s="124" t="str">
        <x:v>Decision package only; no authorization assumed.</x:v>
      </x:c>
      <x:c r="I10" s="117"/>
      <x:c r="J10" s="117"/>
      <x:c r="K10" s="117"/>
      <x:c r="L10" s="117"/>
      <x:c r="M10" s="117"/>
      <x:c r="N10" s="117"/>
      <x:c r="O10" s="117"/>
      <x:c r="P10" s="117"/>
      <x:c r="Q10" s="117"/>
      <x:c r="R10" s="117"/>
      <x:c r="S10" s="117"/>
      <x:c r="T10" s="117"/>
      <x:c r="U10" s="117"/>
      <x:c r="V10" s="117"/>
      <x:c r="W10" s="117"/>
      <x:c r="X10" s="117"/>
      <x:c r="Y10" s="117"/>
      <x:c r="Z10" s="117"/>
    </x:row>
    <x:row r="11">
      <x:c r="A11" s="124" t="str">
        <x:v>A-020</x:v>
      </x:c>
      <x:c r="B11" s="124" t="str">
        <x:v>Confirm quality hold points and inspection coverage</x:v>
      </x:c>
      <x:c r="C11" s="124" t="str">
        <x:v>Quality Lead</x:v>
      </x:c>
      <x:c r="D11" s="148" t="n">
        <x:v>46262</x:v>
      </x:c>
      <x:c r="E11" s="124" t="str">
        <x:v>High</x:v>
      </x:c>
      <x:c r="F11" s="124" t="str">
        <x:v>M-08</x:v>
      </x:c>
      <x:c r="G11" s="124" t="str">
        <x:v>Open</x:v>
      </x:c>
      <x:c r="H11" s="124" t="str">
        <x:v>Align coverage with installation sequence.</x:v>
      </x:c>
      <x:c r="I11" s="117"/>
      <x:c r="J11" s="117"/>
      <x:c r="K11" s="117"/>
      <x:c r="L11" s="117"/>
      <x:c r="M11" s="117"/>
      <x:c r="N11" s="117"/>
      <x:c r="O11" s="117"/>
      <x:c r="P11" s="117"/>
      <x:c r="Q11" s="117"/>
      <x:c r="R11" s="117"/>
      <x:c r="S11" s="117"/>
      <x:c r="T11" s="117"/>
      <x:c r="U11" s="117"/>
      <x:c r="V11" s="117"/>
      <x:c r="W11" s="117"/>
      <x:c r="X11" s="117"/>
      <x:c r="Y11" s="117"/>
      <x:c r="Z11" s="117"/>
    </x:row>
    <x:row r="12">
      <x:c r="A12" s="124" t="str">
        <x:v>A-021</x:v>
      </x:c>
      <x:c r="B12" s="124" t="str">
        <x:v>Archive superseded reference package</x:v>
      </x:c>
      <x:c r="C12" s="124" t="str">
        <x:v>Doc Control</x:v>
      </x:c>
      <x:c r="D12" s="148" t="n">
        <x:v>46255</x:v>
      </x:c>
      <x:c r="E12" s="124" t="str">
        <x:v>Low</x:v>
      </x:c>
      <x:c r="F12" s="124" t="str">
        <x:v>M-02</x:v>
      </x:c>
      <x:c r="G12" s="124" t="str">
        <x:v>Closed</x:v>
      </x:c>
      <x:c r="H12" s="124" t="str">
        <x:v>Completed; revision index updated.</x:v>
      </x:c>
      <x:c r="I12" s="117"/>
      <x:c r="J12" s="117"/>
      <x:c r="K12" s="117"/>
      <x:c r="L12" s="117"/>
      <x:c r="M12" s="117"/>
      <x:c r="N12" s="117"/>
      <x:c r="O12" s="117"/>
      <x:c r="P12" s="117"/>
      <x:c r="Q12" s="117"/>
      <x:c r="R12" s="117"/>
      <x:c r="S12" s="117"/>
      <x:c r="T12" s="117"/>
      <x:c r="U12" s="117"/>
      <x:c r="V12" s="117"/>
      <x:c r="W12" s="117"/>
      <x:c r="X12" s="117"/>
      <x:c r="Y12" s="117"/>
      <x:c r="Z12" s="117"/>
    </x:row>
    <x:row r="13">
      <x:c r="A13" s="117"/>
      <x:c r="B13" s="117"/>
      <x:c r="C13" s="117"/>
      <x:c r="D13" s="117"/>
      <x:c r="E13" s="117"/>
      <x:c r="F13" s="117"/>
      <x:c r="G13" s="117"/>
      <x:c r="H13" s="117"/>
      <x:c r="I13" s="117"/>
      <x:c r="J13" s="117"/>
      <x:c r="K13" s="117"/>
      <x:c r="L13" s="117"/>
      <x:c r="M13" s="117"/>
      <x:c r="N13" s="117"/>
      <x:c r="O13" s="117"/>
      <x:c r="P13" s="117"/>
      <x:c r="Q13" s="117"/>
      <x:c r="R13" s="117"/>
      <x:c r="S13" s="117"/>
      <x:c r="T13" s="117"/>
      <x:c r="U13" s="117"/>
      <x:c r="V13" s="117"/>
      <x:c r="W13" s="117"/>
      <x:c r="X13" s="117"/>
      <x:c r="Y13" s="117"/>
      <x:c r="Z13" s="117"/>
    </x:row>
    <x:row r="14">
      <x:c r="A14" s="117"/>
      <x:c r="B14" s="117"/>
      <x:c r="C14" s="117"/>
      <x:c r="D14" s="117"/>
      <x:c r="E14" s="117"/>
      <x:c r="F14" s="117"/>
      <x:c r="G14" s="117"/>
      <x:c r="H14" s="117"/>
      <x:c r="I14" s="117"/>
      <x:c r="J14" s="117"/>
      <x:c r="K14" s="117"/>
      <x:c r="L14" s="117"/>
      <x:c r="M14" s="117"/>
      <x:c r="N14" s="117"/>
      <x:c r="O14" s="117"/>
      <x:c r="P14" s="117"/>
      <x:c r="Q14" s="117"/>
      <x:c r="R14" s="117"/>
      <x:c r="S14" s="117"/>
      <x:c r="T14" s="117"/>
      <x:c r="U14" s="117"/>
      <x:c r="V14" s="117"/>
      <x:c r="W14" s="117"/>
      <x:c r="X14" s="117"/>
      <x:c r="Y14" s="117"/>
      <x:c r="Z14" s="117"/>
    </x:row>
    <x:row r="15">
      <x:c r="A15" s="117"/>
      <x:c r="B15" s="117"/>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c r="Z15" s="117"/>
    </x:row>
    <x:row r="16">
      <x:c r="A16" s="117"/>
      <x:c r="B16" s="117"/>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c r="Z16" s="117"/>
    </x:row>
    <x:row r="17">
      <x:c r="A17" s="117"/>
      <x:c r="B17" s="117"/>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c r="Z17" s="117"/>
    </x:row>
    <x:row r="18">
      <x:c r="A18" s="117"/>
      <x:c r="B18" s="117"/>
      <x:c r="C18" s="117"/>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c r="Z18" s="117"/>
    </x:row>
    <x:row r="19">
      <x:c r="A19" s="117"/>
      <x:c r="B19" s="117"/>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c r="Z19" s="117"/>
    </x:row>
    <x:row r="20">
      <x:c r="A20" s="117"/>
      <x:c r="B20" s="117"/>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c r="Z20" s="117"/>
    </x:row>
    <x:row r="21">
      <x:c r="A21" s="117"/>
      <x:c r="B21" s="117"/>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c r="Z21" s="117"/>
    </x:row>
    <x:row r="22">
      <x:c r="A22" s="117"/>
      <x:c r="B22" s="117"/>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c r="Z22" s="117"/>
    </x:row>
    <x:row r="23">
      <x:c r="A23" s="117"/>
      <x:c r="B23" s="117"/>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c r="Z23" s="117"/>
    </x:row>
    <x:row r="24">
      <x:c r="A24" s="117"/>
      <x:c r="B24" s="117"/>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c r="Z24" s="117"/>
    </x:row>
    <x:row r="25">
      <x:c r="A25" s="117"/>
      <x:c r="B25" s="117"/>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c r="Z25" s="117"/>
    </x:row>
    <x:row r="26">
      <x:c r="A26" s="117"/>
      <x:c r="B26" s="117"/>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c r="Z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sheetData>
  <x:mergeCells>
    <x:mergeCell ref="A1:H1"/>
  </x:mergeCells>
  <x:conditionalFormatting sqref="E5:E12">
    <x:cfRule type="expression" dxfId="4" priority="1">
      <x:formula>E5="High"</x:formula>
    </x:cfRule>
    <x:cfRule type="expression" dxfId="5" priority="2">
      <x:formula>E5="Med"</x:formula>
    </x:cfRule>
  </x:conditionalFormatting>
  <x:conditionalFormatting sqref="G5:G12">
    <x:cfRule type="expression" dxfId="6" priority="3">
      <x:formula>G5="Closed"</x:formula>
    </x:cfRule>
  </x:conditionalFormatting>
  <x:dataValidations count="2">
    <x:dataValidation type="list" sqref="E5:E12">
      <x:formula1>"High,Med,Low"</x:formula1>
    </x:dataValidation>
    <x:dataValidation type="list" sqref="G5:G12">
      <x:formula1>"Open,In Work,Closed"</x:formula1>
    </x:dataValidation>
  </x:dataValidations>
  <x:pageMargins left="0.7" right="0.7" top="0.75" bottom="0.75" header="0.3" footer="0.3"/>
  <x:tableParts count="1">
    <x:tablePart xmlns:r="http://schemas.openxmlformats.org/officeDocument/2006/relationships" r:id="R5a9b05cab6e24c97"/>
  </x:tableParts>
</x:worksheet>
</file>

<file path=xl/worksheets/sheet4.xml><?xml version="1.0" encoding="utf-8"?>
<x:worksheet xmlns:x="http://schemas.openxmlformats.org/spreadsheetml/2006/main">
  <x:sheetFormatPr defaultRowHeight="15"/>
  <x:cols>
    <x:col min="1" max="1" width="34" hidden="0" customWidth="1"/>
    <x:col min="2" max="2" width="34" hidden="0" customWidth="1"/>
    <x:col min="3" max="3" width="18" hidden="0" customWidth="1"/>
    <x:col min="4" max="4" width="18" hidden="0" customWidth="1"/>
    <x:col min="5" max="5" width="42" hidden="0" customWidth="1"/>
  </x:cols>
  <x:sheetData>
    <x:row r="1" ht="32" customHeight="1">
      <x:c r="A1" s="116" t="str">
        <x:v>3B. DEPENDENCY MAP</x:v>
      </x:c>
      <x:c r="B1" s="116"/>
      <x:c r="C1" s="116"/>
      <x:c r="D1" s="116"/>
      <x:c r="E1" s="116"/>
      <x:c r="F1" s="117"/>
      <x:c r="G1" s="117"/>
      <x:c r="H1" s="117"/>
      <x:c r="I1" s="117"/>
      <x:c r="J1" s="117"/>
      <x:c r="K1" s="117"/>
      <x:c r="L1" s="117"/>
      <x:c r="M1" s="117"/>
      <x:c r="N1" s="117"/>
      <x:c r="O1" s="117"/>
      <x:c r="P1" s="117"/>
      <x:c r="Q1" s="117"/>
      <x:c r="R1" s="117"/>
      <x:c r="S1" s="117"/>
      <x:c r="T1" s="117"/>
      <x:c r="U1" s="117"/>
      <x:c r="V1" s="117"/>
      <x:c r="W1" s="117"/>
      <x:c r="X1" s="117"/>
      <x:c r="Y1" s="117"/>
      <x:c r="Z1" s="117"/>
    </x:row>
    <x:row r="2">
      <x:c r="A2" s="117"/>
      <x:c r="B2" s="117"/>
      <x:c r="C2" s="117"/>
      <x:c r="D2" s="117"/>
      <x:c r="E2" s="117"/>
      <x:c r="F2" s="117"/>
      <x:c r="G2" s="117"/>
      <x:c r="H2" s="117"/>
      <x:c r="I2" s="117"/>
      <x:c r="J2" s="117"/>
      <x:c r="K2" s="117"/>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x:c r="A4" s="91" t="str">
        <x:v>Upstream Condition</x:v>
      </x:c>
      <x:c r="B4" s="91" t="str">
        <x:v>Dependent Work</x:v>
      </x:c>
      <x:c r="C4" s="91" t="str">
        <x:v>Required-by Date</x:v>
      </x:c>
      <x:c r="D4" s="91" t="str">
        <x:v>Current Confidence</x:v>
      </x:c>
      <x:c r="E4" s="91" t="str">
        <x:v>Management Response</x:v>
      </x:c>
      <x:c r="F4" s="117"/>
      <x:c r="G4" s="117"/>
      <x:c r="H4" s="117"/>
      <x:c r="I4" s="117"/>
      <x:c r="J4" s="117"/>
      <x:c r="K4" s="117"/>
      <x:c r="L4" s="117"/>
      <x:c r="M4" s="117"/>
      <x:c r="N4" s="117"/>
      <x:c r="O4" s="117"/>
      <x:c r="P4" s="117"/>
      <x:c r="Q4" s="117"/>
      <x:c r="R4" s="117"/>
      <x:c r="S4" s="117"/>
      <x:c r="T4" s="117"/>
      <x:c r="U4" s="117"/>
      <x:c r="V4" s="117"/>
      <x:c r="W4" s="117"/>
      <x:c r="X4" s="117"/>
      <x:c r="Y4" s="117"/>
      <x:c r="Z4" s="117"/>
    </x:row>
    <x:row r="5">
      <x:c r="A5" s="124" t="str">
        <x:v>Verified replacement equipment and installation material</x:v>
      </x:c>
      <x:c r="B5" s="124" t="str">
        <x:v>Legacy removal / replacement installation</x:v>
      </x:c>
      <x:c r="C5" s="148" t="n">
        <x:v>46262</x:v>
      </x:c>
      <x:c r="D5" s="124" t="str">
        <x:v>Medium</x:v>
      </x:c>
      <x:c r="E5" s="124" t="str">
        <x:v>Protect float through daily receipt tracking and pre-staging.</x:v>
      </x:c>
      <x:c r="F5" s="117"/>
      <x:c r="G5" s="117"/>
      <x:c r="H5" s="117"/>
      <x:c r="I5" s="117"/>
      <x:c r="J5" s="117"/>
      <x:c r="K5" s="117"/>
      <x:c r="L5" s="117"/>
      <x:c r="M5" s="117"/>
      <x:c r="N5" s="117"/>
      <x:c r="O5" s="117"/>
      <x:c r="P5" s="117"/>
      <x:c r="Q5" s="117"/>
      <x:c r="R5" s="117"/>
      <x:c r="S5" s="117"/>
      <x:c r="T5" s="117"/>
      <x:c r="U5" s="117"/>
      <x:c r="V5" s="117"/>
      <x:c r="W5" s="117"/>
      <x:c r="X5" s="117"/>
      <x:c r="Y5" s="117"/>
      <x:c r="Z5" s="117"/>
    </x:row>
    <x:row r="6">
      <x:c r="A6" s="124" t="str">
        <x:v>Approved engineering disposition</x:v>
      </x:c>
      <x:c r="B6" s="124" t="str">
        <x:v>Removal authorization and final routing</x:v>
      </x:c>
      <x:c r="C6" s="148" t="n">
        <x:v>46260</x:v>
      </x:c>
      <x:c r="D6" s="124" t="str">
        <x:v>Medium</x:v>
      </x:c>
      <x:c r="E6" s="124" t="str">
        <x:v>Focused review and escalation path established.</x:v>
      </x:c>
      <x:c r="F6" s="117"/>
      <x:c r="G6" s="117"/>
      <x:c r="H6" s="117"/>
      <x:c r="I6" s="117"/>
      <x:c r="J6" s="117"/>
      <x:c r="K6" s="117"/>
      <x:c r="L6" s="117"/>
      <x:c r="M6" s="117"/>
      <x:c r="N6" s="117"/>
      <x:c r="O6" s="117"/>
      <x:c r="P6" s="117"/>
      <x:c r="Q6" s="117"/>
      <x:c r="R6" s="117"/>
      <x:c r="S6" s="117"/>
      <x:c r="T6" s="117"/>
      <x:c r="U6" s="117"/>
      <x:c r="V6" s="117"/>
      <x:c r="W6" s="117"/>
      <x:c r="X6" s="117"/>
      <x:c r="Y6" s="117"/>
      <x:c r="Z6" s="117"/>
    </x:row>
    <x:row r="7">
      <x:c r="A7" s="124" t="str">
        <x:v>Approved access roster and work-area readiness</x:v>
      </x:c>
      <x:c r="B7" s="124" t="str">
        <x:v>Onboard execution</x:v>
      </x:c>
      <x:c r="C7" s="148" t="n">
        <x:v>46262</x:v>
      </x:c>
      <x:c r="D7" s="124" t="str">
        <x:v>High</x:v>
      </x:c>
      <x:c r="E7" s="124" t="str">
        <x:v>Close remaining credentials and verify staging area.</x:v>
      </x:c>
      <x:c r="F7" s="117"/>
      <x:c r="G7" s="117"/>
      <x:c r="H7" s="117"/>
      <x:c r="I7" s="117"/>
      <x:c r="J7" s="117"/>
      <x:c r="K7" s="117"/>
      <x:c r="L7" s="117"/>
      <x:c r="M7" s="117"/>
      <x:c r="N7" s="117"/>
      <x:c r="O7" s="117"/>
      <x:c r="P7" s="117"/>
      <x:c r="Q7" s="117"/>
      <x:c r="R7" s="117"/>
      <x:c r="S7" s="117"/>
      <x:c r="T7" s="117"/>
      <x:c r="U7" s="117"/>
      <x:c r="V7" s="117"/>
      <x:c r="W7" s="117"/>
      <x:c r="X7" s="117"/>
      <x:c r="Y7" s="117"/>
      <x:c r="Z7" s="117"/>
    </x:row>
    <x:row r="8">
      <x:c r="A8" s="124" t="str">
        <x:v>Calibrated operational test equipment</x:v>
      </x:c>
      <x:c r="B8" s="124" t="str">
        <x:v>Operational testing</x:v>
      </x:c>
      <x:c r="C8" s="148" t="n">
        <x:v>46276</x:v>
      </x:c>
      <x:c r="D8" s="124" t="str">
        <x:v>Medium</x:v>
      </x:c>
      <x:c r="E8" s="124" t="str">
        <x:v>Reserve backup equipment by 28 Aug.</x:v>
      </x:c>
      <x:c r="F8" s="117"/>
      <x:c r="G8" s="117"/>
      <x:c r="H8" s="117"/>
      <x:c r="I8" s="117"/>
      <x:c r="J8" s="117"/>
      <x:c r="K8" s="117"/>
      <x:c r="L8" s="117"/>
      <x:c r="M8" s="117"/>
      <x:c r="N8" s="117"/>
      <x:c r="O8" s="117"/>
      <x:c r="P8" s="117"/>
      <x:c r="Q8" s="117"/>
      <x:c r="R8" s="117"/>
      <x:c r="S8" s="117"/>
      <x:c r="T8" s="117"/>
      <x:c r="U8" s="117"/>
      <x:c r="V8" s="117"/>
      <x:c r="W8" s="117"/>
      <x:c r="X8" s="117"/>
      <x:c r="Y8" s="117"/>
      <x:c r="Z8" s="117"/>
    </x:row>
    <x:row r="9">
      <x:c r="A9" s="124" t="str">
        <x:v>Quality-inspection coverage</x:v>
      </x:c>
      <x:c r="B9" s="124" t="str">
        <x:v>Inspection and acceptance recommendation</x:v>
      </x:c>
      <x:c r="C9" s="148" t="n">
        <x:v>46273</x:v>
      </x:c>
      <x:c r="D9" s="124" t="str">
        <x:v>High</x:v>
      </x:c>
      <x:c r="E9" s="124" t="str">
        <x:v>Confirm hold points before installation begins.</x:v>
      </x:c>
      <x:c r="F9" s="117"/>
      <x:c r="G9" s="117"/>
      <x:c r="H9" s="117"/>
      <x:c r="I9" s="117"/>
      <x:c r="J9" s="117"/>
      <x:c r="K9" s="117"/>
      <x:c r="L9" s="117"/>
      <x:c r="M9" s="117"/>
      <x:c r="N9" s="117"/>
      <x:c r="O9" s="117"/>
      <x:c r="P9" s="117"/>
      <x:c r="Q9" s="117"/>
      <x:c r="R9" s="117"/>
      <x:c r="S9" s="117"/>
      <x:c r="T9" s="117"/>
      <x:c r="U9" s="117"/>
      <x:c r="V9" s="117"/>
      <x:c r="W9" s="117"/>
      <x:c r="X9" s="117"/>
      <x:c r="Y9" s="117"/>
      <x:c r="Z9" s="117"/>
    </x:row>
    <x:row r="10">
      <x:c r="A10" s="117"/>
      <x:c r="B10" s="117"/>
      <x:c r="C10" s="117"/>
      <x:c r="D10" s="117"/>
      <x:c r="E10" s="117"/>
      <x:c r="F10" s="117"/>
      <x:c r="G10" s="117"/>
      <x:c r="H10" s="117"/>
      <x:c r="I10" s="117"/>
      <x:c r="J10" s="117"/>
      <x:c r="K10" s="117"/>
      <x:c r="L10" s="117"/>
      <x:c r="M10" s="117"/>
      <x:c r="N10" s="117"/>
      <x:c r="O10" s="117"/>
      <x:c r="P10" s="117"/>
      <x:c r="Q10" s="117"/>
      <x:c r="R10" s="117"/>
      <x:c r="S10" s="117"/>
      <x:c r="T10" s="117"/>
      <x:c r="U10" s="117"/>
      <x:c r="V10" s="117"/>
      <x:c r="W10" s="117"/>
      <x:c r="X10" s="117"/>
      <x:c r="Y10" s="117"/>
      <x:c r="Z10" s="117"/>
    </x:row>
    <x:row r="11">
      <x:c r="A11" s="117"/>
      <x:c r="B11" s="117"/>
      <x:c r="C11" s="117"/>
      <x:c r="D11" s="117"/>
      <x:c r="E11" s="117"/>
      <x:c r="F11" s="117"/>
      <x:c r="G11" s="117"/>
      <x:c r="H11" s="117"/>
      <x:c r="I11" s="117"/>
      <x:c r="J11" s="117"/>
      <x:c r="K11" s="117"/>
      <x:c r="L11" s="117"/>
      <x:c r="M11" s="117"/>
      <x:c r="N11" s="117"/>
      <x:c r="O11" s="117"/>
      <x:c r="P11" s="117"/>
      <x:c r="Q11" s="117"/>
      <x:c r="R11" s="117"/>
      <x:c r="S11" s="117"/>
      <x:c r="T11" s="117"/>
      <x:c r="U11" s="117"/>
      <x:c r="V11" s="117"/>
      <x:c r="W11" s="117"/>
      <x:c r="X11" s="117"/>
      <x:c r="Y11" s="117"/>
      <x:c r="Z11" s="117"/>
    </x:row>
    <x:row r="12">
      <x:c r="A12" s="117"/>
      <x:c r="B12" s="117"/>
      <x:c r="C12" s="117"/>
      <x:c r="D12" s="117"/>
      <x:c r="E12" s="117"/>
      <x:c r="F12" s="117"/>
      <x:c r="G12" s="117"/>
      <x:c r="H12" s="117"/>
      <x:c r="I12" s="117"/>
      <x:c r="J12" s="117"/>
      <x:c r="K12" s="117"/>
      <x:c r="L12" s="117"/>
      <x:c r="M12" s="117"/>
      <x:c r="N12" s="117"/>
      <x:c r="O12" s="117"/>
      <x:c r="P12" s="117"/>
      <x:c r="Q12" s="117"/>
      <x:c r="R12" s="117"/>
      <x:c r="S12" s="117"/>
      <x:c r="T12" s="117"/>
      <x:c r="U12" s="117"/>
      <x:c r="V12" s="117"/>
      <x:c r="W12" s="117"/>
      <x:c r="X12" s="117"/>
      <x:c r="Y12" s="117"/>
      <x:c r="Z12" s="117"/>
    </x:row>
    <x:row r="13">
      <x:c r="A13" s="117"/>
      <x:c r="B13" s="117"/>
      <x:c r="C13" s="117"/>
      <x:c r="D13" s="117"/>
      <x:c r="E13" s="117"/>
      <x:c r="F13" s="117"/>
      <x:c r="G13" s="117"/>
      <x:c r="H13" s="117"/>
      <x:c r="I13" s="117"/>
      <x:c r="J13" s="117"/>
      <x:c r="K13" s="117"/>
      <x:c r="L13" s="117"/>
      <x:c r="M13" s="117"/>
      <x:c r="N13" s="117"/>
      <x:c r="O13" s="117"/>
      <x:c r="P13" s="117"/>
      <x:c r="Q13" s="117"/>
      <x:c r="R13" s="117"/>
      <x:c r="S13" s="117"/>
      <x:c r="T13" s="117"/>
      <x:c r="U13" s="117"/>
      <x:c r="V13" s="117"/>
      <x:c r="W13" s="117"/>
      <x:c r="X13" s="117"/>
      <x:c r="Y13" s="117"/>
      <x:c r="Z13" s="117"/>
    </x:row>
    <x:row r="14">
      <x:c r="A14" s="117"/>
      <x:c r="B14" s="117"/>
      <x:c r="C14" s="117"/>
      <x:c r="D14" s="117"/>
      <x:c r="E14" s="117"/>
      <x:c r="F14" s="117"/>
      <x:c r="G14" s="117"/>
      <x:c r="H14" s="117"/>
      <x:c r="I14" s="117"/>
      <x:c r="J14" s="117"/>
      <x:c r="K14" s="117"/>
      <x:c r="L14" s="117"/>
      <x:c r="M14" s="117"/>
      <x:c r="N14" s="117"/>
      <x:c r="O14" s="117"/>
      <x:c r="P14" s="117"/>
      <x:c r="Q14" s="117"/>
      <x:c r="R14" s="117"/>
      <x:c r="S14" s="117"/>
      <x:c r="T14" s="117"/>
      <x:c r="U14" s="117"/>
      <x:c r="V14" s="117"/>
      <x:c r="W14" s="117"/>
      <x:c r="X14" s="117"/>
      <x:c r="Y14" s="117"/>
      <x:c r="Z14" s="117"/>
    </x:row>
    <x:row r="15">
      <x:c r="A15" s="117"/>
      <x:c r="B15" s="117"/>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c r="Z15" s="117"/>
    </x:row>
    <x:row r="16">
      <x:c r="A16" s="117"/>
      <x:c r="B16" s="117"/>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c r="Z16" s="117"/>
    </x:row>
    <x:row r="17">
      <x:c r="A17" s="117"/>
      <x:c r="B17" s="117"/>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c r="Z17" s="117"/>
    </x:row>
    <x:row r="18">
      <x:c r="A18" s="117"/>
      <x:c r="B18" s="117"/>
      <x:c r="C18" s="117"/>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c r="Z18" s="117"/>
    </x:row>
    <x:row r="19">
      <x:c r="A19" s="117"/>
      <x:c r="B19" s="117"/>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c r="Z19" s="117"/>
    </x:row>
    <x:row r="20">
      <x:c r="A20" s="117"/>
      <x:c r="B20" s="117"/>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c r="Z20" s="117"/>
    </x:row>
    <x:row r="21">
      <x:c r="A21" s="117"/>
      <x:c r="B21" s="117"/>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c r="Z21" s="117"/>
    </x:row>
    <x:row r="22">
      <x:c r="A22" s="117"/>
      <x:c r="B22" s="117"/>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c r="Z22" s="117"/>
    </x:row>
    <x:row r="23">
      <x:c r="A23" s="117"/>
      <x:c r="B23" s="117"/>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c r="Z23" s="117"/>
    </x:row>
    <x:row r="24">
      <x:c r="A24" s="117"/>
      <x:c r="B24" s="117"/>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c r="Z24" s="117"/>
    </x:row>
    <x:row r="25">
      <x:c r="A25" s="117"/>
      <x:c r="B25" s="117"/>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c r="Z25" s="117"/>
    </x:row>
    <x:row r="26">
      <x:c r="A26" s="117"/>
      <x:c r="B26" s="117"/>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c r="Z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sheetData>
  <x:mergeCells>
    <x:mergeCell ref="A1:E1"/>
  </x:mergeCells>
  <x:conditionalFormatting sqref="D5:D9">
    <x:cfRule type="expression" dxfId="7" priority="1">
      <x:formula>D5="High"</x:formula>
    </x:cfRule>
    <x:cfRule type="expression" dxfId="8" priority="2">
      <x:formula>D5="Medium"</x:formula>
    </x:cfRule>
  </x:conditionalFormatting>
  <x:dataValidations count="1">
    <x:dataValidation type="list" sqref="D5:D9">
      <x:formula1>"High,Medium,Low"</x:formula1>
    </x:dataValidation>
  </x:dataValidations>
  <x:pageMargins left="0.7" right="0.7" top="0.75" bottom="0.75" header="0.3" footer="0.3"/>
  <x:tableParts count="1">
    <x:tablePart xmlns:r="http://schemas.openxmlformats.org/officeDocument/2006/relationships" r:id="R191e22bd25b44e76"/>
  </x:tableParts>
</x:worksheet>
</file>

<file path=xl/worksheets/sheet5.xml><?xml version="1.0" encoding="utf-8"?>
<x:worksheet xmlns:x="http://schemas.openxmlformats.org/spreadsheetml/2006/main">
  <x:sheetFormatPr defaultRowHeight="15"/>
  <x:cols>
    <x:col min="1" max="1" width="12" hidden="0" customWidth="1"/>
    <x:col min="2" max="2" width="12" hidden="0" customWidth="1"/>
    <x:col min="3" max="3" width="38" hidden="0" customWidth="1"/>
    <x:col min="4" max="4" width="16" hidden="0" customWidth="1"/>
    <x:col min="5" max="5" width="16" hidden="0" customWidth="1"/>
    <x:col min="6" max="6" width="16" hidden="0" customWidth="1"/>
    <x:col min="7" max="7" width="38" hidden="0" customWidth="1"/>
    <x:col min="8" max="8" width="12" hidden="0" customWidth="1"/>
  </x:cols>
  <x:sheetData>
    <x:row r="1" ht="32" customHeight="1">
      <x:c r="A1" s="116" t="str">
        <x:v>4A. RISK, ISSUE, AND ASSUMPTION LOG</x:v>
      </x:c>
      <x:c r="B1" s="116"/>
      <x:c r="C1" s="116"/>
      <x:c r="D1" s="116"/>
      <x:c r="E1" s="116"/>
      <x:c r="F1" s="116"/>
      <x:c r="G1" s="116"/>
      <x:c r="H1" s="116"/>
      <x:c r="I1" s="117"/>
      <x:c r="J1" s="117"/>
      <x:c r="K1" s="117"/>
      <x:c r="L1" s="117"/>
      <x:c r="M1" s="117"/>
      <x:c r="N1" s="117"/>
      <x:c r="O1" s="117"/>
      <x:c r="P1" s="117"/>
      <x:c r="Q1" s="117"/>
      <x:c r="R1" s="117"/>
      <x:c r="S1" s="117"/>
      <x:c r="T1" s="117"/>
      <x:c r="U1" s="117"/>
      <x:c r="V1" s="117"/>
      <x:c r="W1" s="117"/>
      <x:c r="X1" s="117"/>
      <x:c r="Y1" s="117"/>
      <x:c r="Z1" s="117"/>
    </x:row>
    <x:row r="2">
      <x:c r="A2" s="117"/>
      <x:c r="B2" s="117"/>
      <x:c r="C2" s="117"/>
      <x:c r="D2" s="117"/>
      <x:c r="E2" s="117"/>
      <x:c r="F2" s="117"/>
      <x:c r="G2" s="117"/>
      <x:c r="H2" s="117"/>
      <x:c r="I2" s="117"/>
      <x:c r="J2" s="117"/>
      <x:c r="K2" s="117"/>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x:c r="A4" s="91" t="str">
        <x:v>ID</x:v>
      </x:c>
      <x:c r="B4" s="91" t="str">
        <x:v>Type</x:v>
      </x:c>
      <x:c r="C4" s="91" t="str">
        <x:v>Statement</x:v>
      </x:c>
      <x:c r="D4" s="91" t="str">
        <x:v>Probability</x:v>
      </x:c>
      <x:c r="E4" s="91" t="str">
        <x:v>Impact</x:v>
      </x:c>
      <x:c r="F4" s="91" t="str">
        <x:v>Owner</x:v>
      </x:c>
      <x:c r="G4" s="91" t="str">
        <x:v>Response / Mitigation</x:v>
      </x:c>
      <x:c r="H4" s="91" t="str">
        <x:v>Status</x:v>
      </x:c>
      <x:c r="I4" s="117"/>
      <x:c r="J4" s="117"/>
      <x:c r="K4" s="117"/>
      <x:c r="L4" s="117"/>
      <x:c r="M4" s="117"/>
      <x:c r="N4" s="117"/>
      <x:c r="O4" s="117"/>
      <x:c r="P4" s="117"/>
      <x:c r="Q4" s="117"/>
      <x:c r="R4" s="117"/>
      <x:c r="S4" s="117"/>
      <x:c r="T4" s="117"/>
      <x:c r="U4" s="117"/>
      <x:c r="V4" s="117"/>
      <x:c r="W4" s="117"/>
      <x:c r="X4" s="117"/>
      <x:c r="Y4" s="117"/>
      <x:c r="Z4" s="117"/>
    </x:row>
    <x:row r="5">
      <x:c r="A5" s="124" t="str">
        <x:v>R-03</x:v>
      </x:c>
      <x:c r="B5" s="124" t="str">
        <x:v>Risk</x:v>
      </x:c>
      <x:c r="C5" s="124" t="str">
        <x:v>Replacement material may arrive after the planned verification window.</x:v>
      </x:c>
      <x:c r="D5" s="124" t="str">
        <x:v>Med</x:v>
      </x:c>
      <x:c r="E5" s="124" t="str">
        <x:v>High</x:v>
      </x:c>
      <x:c r="F5" s="124" t="str">
        <x:v>Supply Lead</x:v>
      </x:c>
      <x:c r="G5" s="124" t="str">
        <x:v>Daily tracking; pre-stage partial receipts; prepare schedule-recovery options.</x:v>
      </x:c>
      <x:c r="H5" s="124" t="str">
        <x:v>Open</x:v>
      </x:c>
      <x:c r="I5" s="117"/>
      <x:c r="J5" s="117"/>
      <x:c r="K5" s="117"/>
      <x:c r="L5" s="117"/>
      <x:c r="M5" s="117"/>
      <x:c r="N5" s="117"/>
      <x:c r="O5" s="117"/>
      <x:c r="P5" s="117"/>
      <x:c r="Q5" s="117"/>
      <x:c r="R5" s="117"/>
      <x:c r="S5" s="117"/>
      <x:c r="T5" s="117"/>
      <x:c r="U5" s="117"/>
      <x:c r="V5" s="117"/>
      <x:c r="W5" s="117"/>
      <x:c r="X5" s="117"/>
      <x:c r="Y5" s="117"/>
      <x:c r="Z5" s="117"/>
    </x:row>
    <x:row r="6">
      <x:c r="A6" s="124" t="str">
        <x:v>I-02</x:v>
      </x:c>
      <x:c r="B6" s="124" t="str">
        <x:v>Issue</x:v>
      </x:c>
      <x:c r="C6" s="124" t="str">
        <x:v>Interface-control drawing conflicts with observed routing condition.</x:v>
      </x:c>
      <x:c r="D6" s="124" t="str">
        <x:v>N/A</x:v>
      </x:c>
      <x:c r="E6" s="124" t="str">
        <x:v>High</x:v>
      </x:c>
      <x:c r="F6" s="124" t="str">
        <x:v>Engineering Lead</x:v>
      </x:c>
      <x:c r="G6" s="124" t="str">
        <x:v>Disposition required before removal; escalate at 24 Aug review.</x:v>
      </x:c>
      <x:c r="H6" s="124" t="str">
        <x:v>Open</x:v>
      </x:c>
      <x:c r="I6" s="117"/>
      <x:c r="J6" s="117"/>
      <x:c r="K6" s="117"/>
      <x:c r="L6" s="117"/>
      <x:c r="M6" s="117"/>
      <x:c r="N6" s="117"/>
      <x:c r="O6" s="117"/>
      <x:c r="P6" s="117"/>
      <x:c r="Q6" s="117"/>
      <x:c r="R6" s="117"/>
      <x:c r="S6" s="117"/>
      <x:c r="T6" s="117"/>
      <x:c r="U6" s="117"/>
      <x:c r="V6" s="117"/>
      <x:c r="W6" s="117"/>
      <x:c r="X6" s="117"/>
      <x:c r="Y6" s="117"/>
      <x:c r="Z6" s="117"/>
    </x:row>
    <x:row r="7">
      <x:c r="A7" s="124" t="str">
        <x:v>R-04</x:v>
      </x:c>
      <x:c r="B7" s="124" t="str">
        <x:v>Risk</x:v>
      </x:c>
      <x:c r="C7" s="124" t="str">
        <x:v>Primary operational test set may remain committed to another activity.</x:v>
      </x:c>
      <x:c r="D7" s="124" t="str">
        <x:v>Med</x:v>
      </x:c>
      <x:c r="E7" s="124" t="str">
        <x:v>Med</x:v>
      </x:c>
      <x:c r="F7" s="124" t="str">
        <x:v>Test Lead</x:v>
      </x:c>
      <x:c r="G7" s="124" t="str">
        <x:v>Reserve qualified backup equipment by 28 Aug.</x:v>
      </x:c>
      <x:c r="H7" s="124" t="str">
        <x:v>Open</x:v>
      </x:c>
      <x:c r="I7" s="117"/>
      <x:c r="J7" s="117"/>
      <x:c r="K7" s="117"/>
      <x:c r="L7" s="117"/>
      <x:c r="M7" s="117"/>
      <x:c r="N7" s="117"/>
      <x:c r="O7" s="117"/>
      <x:c r="P7" s="117"/>
      <x:c r="Q7" s="117"/>
      <x:c r="R7" s="117"/>
      <x:c r="S7" s="117"/>
      <x:c r="T7" s="117"/>
      <x:c r="U7" s="117"/>
      <x:c r="V7" s="117"/>
      <x:c r="W7" s="117"/>
      <x:c r="X7" s="117"/>
      <x:c r="Y7" s="117"/>
      <x:c r="Z7" s="117"/>
    </x:row>
    <x:row r="8">
      <x:c r="A8" s="124" t="str">
        <x:v>A-02</x:v>
      </x:c>
      <x:c r="B8" s="124" t="str">
        <x:v>Assumption</x:v>
      </x:c>
      <x:c r="C8" s="124" t="str">
        <x:v>Shipboard work area will be available continuously during planned installation window.</x:v>
      </x:c>
      <x:c r="D8" s="124" t="str">
        <x:v>N/A</x:v>
      </x:c>
      <x:c r="E8" s="124" t="str">
        <x:v>Med</x:v>
      </x:c>
      <x:c r="F8" s="124" t="str">
        <x:v>Ship POC</x:v>
      </x:c>
      <x:c r="G8" s="124" t="str">
        <x:v>Validate access window at 25 Aug readiness review.</x:v>
      </x:c>
      <x:c r="H8" s="124" t="str">
        <x:v>Open</x:v>
      </x:c>
      <x:c r="I8" s="117"/>
      <x:c r="J8" s="117"/>
      <x:c r="K8" s="117"/>
      <x:c r="L8" s="117"/>
      <x:c r="M8" s="117"/>
      <x:c r="N8" s="117"/>
      <x:c r="O8" s="117"/>
      <x:c r="P8" s="117"/>
      <x:c r="Q8" s="117"/>
      <x:c r="R8" s="117"/>
      <x:c r="S8" s="117"/>
      <x:c r="T8" s="117"/>
      <x:c r="U8" s="117"/>
      <x:c r="V8" s="117"/>
      <x:c r="W8" s="117"/>
      <x:c r="X8" s="117"/>
      <x:c r="Y8" s="117"/>
      <x:c r="Z8" s="117"/>
    </x:row>
    <x:row r="9">
      <x:c r="A9" s="117"/>
      <x:c r="B9" s="117"/>
      <x:c r="C9" s="117"/>
      <x:c r="D9" s="117"/>
      <x:c r="E9" s="117"/>
      <x:c r="F9" s="117"/>
      <x:c r="G9" s="117"/>
      <x:c r="H9" s="117"/>
      <x:c r="I9" s="117"/>
      <x:c r="J9" s="117"/>
      <x:c r="K9" s="117"/>
      <x:c r="L9" s="117"/>
      <x:c r="M9" s="117"/>
      <x:c r="N9" s="117"/>
      <x:c r="O9" s="117"/>
      <x:c r="P9" s="117"/>
      <x:c r="Q9" s="117"/>
      <x:c r="R9" s="117"/>
      <x:c r="S9" s="117"/>
      <x:c r="T9" s="117"/>
      <x:c r="U9" s="117"/>
      <x:c r="V9" s="117"/>
      <x:c r="W9" s="117"/>
      <x:c r="X9" s="117"/>
      <x:c r="Y9" s="117"/>
      <x:c r="Z9" s="117"/>
    </x:row>
    <x:row r="10">
      <x:c r="A10" s="117"/>
      <x:c r="B10" s="117"/>
      <x:c r="C10" s="117"/>
      <x:c r="D10" s="117"/>
      <x:c r="E10" s="117"/>
      <x:c r="F10" s="117"/>
      <x:c r="G10" s="117"/>
      <x:c r="H10" s="117"/>
      <x:c r="I10" s="117"/>
      <x:c r="J10" s="117"/>
      <x:c r="K10" s="117"/>
      <x:c r="L10" s="117"/>
      <x:c r="M10" s="117"/>
      <x:c r="N10" s="117"/>
      <x:c r="O10" s="117"/>
      <x:c r="P10" s="117"/>
      <x:c r="Q10" s="117"/>
      <x:c r="R10" s="117"/>
      <x:c r="S10" s="117"/>
      <x:c r="T10" s="117"/>
      <x:c r="U10" s="117"/>
      <x:c r="V10" s="117"/>
      <x:c r="W10" s="117"/>
      <x:c r="X10" s="117"/>
      <x:c r="Y10" s="117"/>
      <x:c r="Z10" s="117"/>
    </x:row>
    <x:row r="11">
      <x:c r="A11" s="117"/>
      <x:c r="B11" s="117"/>
      <x:c r="C11" s="117"/>
      <x:c r="D11" s="117"/>
      <x:c r="E11" s="117"/>
      <x:c r="F11" s="117"/>
      <x:c r="G11" s="117"/>
      <x:c r="H11" s="117"/>
      <x:c r="I11" s="117"/>
      <x:c r="J11" s="117"/>
      <x:c r="K11" s="117"/>
      <x:c r="L11" s="117"/>
      <x:c r="M11" s="117"/>
      <x:c r="N11" s="117"/>
      <x:c r="O11" s="117"/>
      <x:c r="P11" s="117"/>
      <x:c r="Q11" s="117"/>
      <x:c r="R11" s="117"/>
      <x:c r="S11" s="117"/>
      <x:c r="T11" s="117"/>
      <x:c r="U11" s="117"/>
      <x:c r="V11" s="117"/>
      <x:c r="W11" s="117"/>
      <x:c r="X11" s="117"/>
      <x:c r="Y11" s="117"/>
      <x:c r="Z11" s="117"/>
    </x:row>
    <x:row r="12">
      <x:c r="A12" s="117"/>
      <x:c r="B12" s="117"/>
      <x:c r="C12" s="117"/>
      <x:c r="D12" s="117"/>
      <x:c r="E12" s="117"/>
      <x:c r="F12" s="117"/>
      <x:c r="G12" s="117"/>
      <x:c r="H12" s="117"/>
      <x:c r="I12" s="117"/>
      <x:c r="J12" s="117"/>
      <x:c r="K12" s="117"/>
      <x:c r="L12" s="117"/>
      <x:c r="M12" s="117"/>
      <x:c r="N12" s="117"/>
      <x:c r="O12" s="117"/>
      <x:c r="P12" s="117"/>
      <x:c r="Q12" s="117"/>
      <x:c r="R12" s="117"/>
      <x:c r="S12" s="117"/>
      <x:c r="T12" s="117"/>
      <x:c r="U12" s="117"/>
      <x:c r="V12" s="117"/>
      <x:c r="W12" s="117"/>
      <x:c r="X12" s="117"/>
      <x:c r="Y12" s="117"/>
      <x:c r="Z12" s="117"/>
    </x:row>
    <x:row r="13">
      <x:c r="A13" s="117"/>
      <x:c r="B13" s="117"/>
      <x:c r="C13" s="117"/>
      <x:c r="D13" s="117"/>
      <x:c r="E13" s="117"/>
      <x:c r="F13" s="117"/>
      <x:c r="G13" s="117"/>
      <x:c r="H13" s="117"/>
      <x:c r="I13" s="117"/>
      <x:c r="J13" s="117"/>
      <x:c r="K13" s="117"/>
      <x:c r="L13" s="117"/>
      <x:c r="M13" s="117"/>
      <x:c r="N13" s="117"/>
      <x:c r="O13" s="117"/>
      <x:c r="P13" s="117"/>
      <x:c r="Q13" s="117"/>
      <x:c r="R13" s="117"/>
      <x:c r="S13" s="117"/>
      <x:c r="T13" s="117"/>
      <x:c r="U13" s="117"/>
      <x:c r="V13" s="117"/>
      <x:c r="W13" s="117"/>
      <x:c r="X13" s="117"/>
      <x:c r="Y13" s="117"/>
      <x:c r="Z13" s="117"/>
    </x:row>
    <x:row r="14">
      <x:c r="A14" s="117"/>
      <x:c r="B14" s="117"/>
      <x:c r="C14" s="117"/>
      <x:c r="D14" s="117"/>
      <x:c r="E14" s="117"/>
      <x:c r="F14" s="117"/>
      <x:c r="G14" s="117"/>
      <x:c r="H14" s="117"/>
      <x:c r="I14" s="117"/>
      <x:c r="J14" s="117"/>
      <x:c r="K14" s="117"/>
      <x:c r="L14" s="117"/>
      <x:c r="M14" s="117"/>
      <x:c r="N14" s="117"/>
      <x:c r="O14" s="117"/>
      <x:c r="P14" s="117"/>
      <x:c r="Q14" s="117"/>
      <x:c r="R14" s="117"/>
      <x:c r="S14" s="117"/>
      <x:c r="T14" s="117"/>
      <x:c r="U14" s="117"/>
      <x:c r="V14" s="117"/>
      <x:c r="W14" s="117"/>
      <x:c r="X14" s="117"/>
      <x:c r="Y14" s="117"/>
      <x:c r="Z14" s="117"/>
    </x:row>
    <x:row r="15">
      <x:c r="A15" s="117"/>
      <x:c r="B15" s="117"/>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c r="Z15" s="117"/>
    </x:row>
    <x:row r="16">
      <x:c r="A16" s="117"/>
      <x:c r="B16" s="117"/>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c r="Z16" s="117"/>
    </x:row>
    <x:row r="17">
      <x:c r="A17" s="117"/>
      <x:c r="B17" s="117"/>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c r="Z17" s="117"/>
    </x:row>
    <x:row r="18">
      <x:c r="A18" s="117"/>
      <x:c r="B18" s="117"/>
      <x:c r="C18" s="117"/>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c r="Z18" s="117"/>
    </x:row>
    <x:row r="19">
      <x:c r="A19" s="117"/>
      <x:c r="B19" s="117"/>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c r="Z19" s="117"/>
    </x:row>
    <x:row r="20">
      <x:c r="A20" s="117"/>
      <x:c r="B20" s="117"/>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c r="Z20" s="117"/>
    </x:row>
    <x:row r="21">
      <x:c r="A21" s="117"/>
      <x:c r="B21" s="117"/>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c r="Z21" s="117"/>
    </x:row>
    <x:row r="22">
      <x:c r="A22" s="117"/>
      <x:c r="B22" s="117"/>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c r="Z22" s="117"/>
    </x:row>
    <x:row r="23">
      <x:c r="A23" s="117"/>
      <x:c r="B23" s="117"/>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c r="Z23" s="117"/>
    </x:row>
    <x:row r="24">
      <x:c r="A24" s="117"/>
      <x:c r="B24" s="117"/>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c r="Z24" s="117"/>
    </x:row>
    <x:row r="25">
      <x:c r="A25" s="117"/>
      <x:c r="B25" s="117"/>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c r="Z25" s="117"/>
    </x:row>
    <x:row r="26">
      <x:c r="A26" s="117"/>
      <x:c r="B26" s="117"/>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c r="Z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sheetData>
  <x:mergeCells>
    <x:mergeCell ref="A1:H1"/>
  </x:mergeCells>
  <x:conditionalFormatting sqref="E5:E8">
    <x:cfRule type="expression" dxfId="9" priority="1">
      <x:formula>E5="High"</x:formula>
    </x:cfRule>
    <x:cfRule type="expression" dxfId="10" priority="2">
      <x:formula>E5="Med"</x:formula>
    </x:cfRule>
  </x:conditionalFormatting>
  <x:dataValidations count="3">
    <x:dataValidation type="list" sqref="B5:B8">
      <x:formula1>"Risk,Issue,Assumption"</x:formula1>
    </x:dataValidation>
    <x:dataValidation type="list" sqref="D5:E8">
      <x:formula1>"High,Med,Low,N/A"</x:formula1>
    </x:dataValidation>
    <x:dataValidation type="list" sqref="H5:H8">
      <x:formula1>"Open,Closed"</x:formula1>
    </x:dataValidation>
  </x:dataValidations>
  <x:pageMargins left="0.7" right="0.7" top="0.75" bottom="0.75" header="0.3" footer="0.3"/>
  <x:tableParts count="1">
    <x:tablePart xmlns:r="http://schemas.openxmlformats.org/officeDocument/2006/relationships" r:id="R4395b097df514fd5"/>
  </x:tableParts>
</x:worksheet>
</file>

<file path=xl/worksheets/sheet6.xml><?xml version="1.0" encoding="utf-8"?>
<x:worksheet xmlns:x="http://schemas.openxmlformats.org/spreadsheetml/2006/main">
  <x:sheetFormatPr defaultRowHeight="15"/>
  <x:cols>
    <x:col min="1" max="1" width="42" hidden="0" customWidth="1"/>
    <x:col min="2" max="2" width="42" hidden="0" customWidth="1"/>
    <x:col min="3" max="3" width="18" hidden="0" customWidth="1"/>
    <x:col min="4" max="4" width="18" hidden="0" customWidth="1"/>
    <x:col min="5" max="5" width="18" hidden="0" customWidth="1"/>
    <x:col min="6" max="6" width="36" hidden="0" customWidth="1"/>
    <x:col min="7" max="7" width="36" hidden="0" customWidth="1"/>
  </x:cols>
  <x:sheetData>
    <x:row r="1" ht="32" customHeight="1">
      <x:c r="A1" s="116" t="str">
        <x:v>4B. DECISION LOG</x:v>
      </x:c>
      <x:c r="B1" s="116"/>
      <x:c r="C1" s="116"/>
      <x:c r="D1" s="116"/>
      <x:c r="E1" s="116"/>
      <x:c r="F1" s="116"/>
      <x:c r="G1" s="116"/>
      <x:c r="H1" s="117"/>
      <x:c r="I1" s="117"/>
      <x:c r="J1" s="117"/>
      <x:c r="K1" s="117"/>
      <x:c r="L1" s="117"/>
      <x:c r="M1" s="117"/>
      <x:c r="N1" s="117"/>
      <x:c r="O1" s="117"/>
      <x:c r="P1" s="117"/>
      <x:c r="Q1" s="117"/>
      <x:c r="R1" s="117"/>
      <x:c r="S1" s="117"/>
      <x:c r="T1" s="117"/>
      <x:c r="U1" s="117"/>
      <x:c r="V1" s="117"/>
      <x:c r="W1" s="117"/>
      <x:c r="X1" s="117"/>
      <x:c r="Y1" s="117"/>
      <x:c r="Z1" s="117"/>
    </x:row>
    <x:row r="2">
      <x:c r="A2" s="117"/>
      <x:c r="B2" s="117"/>
      <x:c r="C2" s="117"/>
      <x:c r="D2" s="117"/>
      <x:c r="E2" s="117"/>
      <x:c r="F2" s="117"/>
      <x:c r="G2" s="117"/>
      <x:c r="H2" s="117"/>
      <x:c r="I2" s="117"/>
      <x:c r="J2" s="117"/>
      <x:c r="K2" s="117"/>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x:c r="A4" s="91" t="str">
        <x:v>ID</x:v>
      </x:c>
      <x:c r="B4" s="91" t="str">
        <x:v>Decision Required</x:v>
      </x:c>
      <x:c r="C4" s="91" t="str">
        <x:v>Authority</x:v>
      </x:c>
      <x:c r="D4" s="91" t="str">
        <x:v>Needed By</x:v>
      </x:c>
      <x:c r="E4" s="91" t="str">
        <x:v>Status</x:v>
      </x:c>
      <x:c r="F4" s="91" t="str">
        <x:v>Schedule / Mission Effect</x:v>
      </x:c>
      <x:c r="G4" s="91" t="str">
        <x:v>Next Step</x:v>
      </x:c>
      <x:c r="H4" s="117"/>
      <x:c r="I4" s="117"/>
      <x:c r="J4" s="117"/>
      <x:c r="K4" s="117"/>
      <x:c r="L4" s="117"/>
      <x:c r="M4" s="117"/>
      <x:c r="N4" s="117"/>
      <x:c r="O4" s="117"/>
      <x:c r="P4" s="117"/>
      <x:c r="Q4" s="117"/>
      <x:c r="R4" s="117"/>
      <x:c r="S4" s="117"/>
      <x:c r="T4" s="117"/>
      <x:c r="U4" s="117"/>
      <x:c r="V4" s="117"/>
      <x:c r="W4" s="117"/>
      <x:c r="X4" s="117"/>
      <x:c r="Y4" s="117"/>
      <x:c r="Z4" s="117"/>
    </x:row>
    <x:row r="5">
      <x:c r="A5" s="124" t="str">
        <x:v>D-04</x:v>
      </x:c>
      <x:c r="B5" s="124" t="str">
        <x:v>Authorize weekend work if verified material receipt moves beyond 27 Aug?</x:v>
      </x:c>
      <x:c r="C5" s="124" t="str">
        <x:v>Program Lead</x:v>
      </x:c>
      <x:c r="D5" s="148" t="n">
        <x:v>46260</x:v>
      </x:c>
      <x:c r="E5" s="124" t="str">
        <x:v>Pending</x:v>
      </x:c>
      <x:c r="F5" s="124" t="str">
        <x:v>Protect removal start and final completion date.</x:v>
      </x:c>
      <x:c r="G5" s="124" t="str">
        <x:v>Project Controls to provide impact comparison.</x:v>
      </x:c>
      <x:c r="H5" s="117"/>
      <x:c r="I5" s="117"/>
      <x:c r="J5" s="117"/>
      <x:c r="K5" s="117"/>
      <x:c r="L5" s="117"/>
      <x:c r="M5" s="117"/>
      <x:c r="N5" s="117"/>
      <x:c r="O5" s="117"/>
      <x:c r="P5" s="117"/>
      <x:c r="Q5" s="117"/>
      <x:c r="R5" s="117"/>
      <x:c r="S5" s="117"/>
      <x:c r="T5" s="117"/>
      <x:c r="U5" s="117"/>
      <x:c r="V5" s="117"/>
      <x:c r="W5" s="117"/>
      <x:c r="X5" s="117"/>
      <x:c r="Y5" s="117"/>
      <x:c r="Z5" s="117"/>
    </x:row>
    <x:row r="6">
      <x:c r="A6" s="124" t="str">
        <x:v>D-05</x:v>
      </x:c>
      <x:c r="B6" s="124" t="str">
        <x:v>Use backup operational test set if primary availability is not confirmed by 28 Aug?</x:v>
      </x:c>
      <x:c r="C6" s="124" t="str">
        <x:v>Test Authority</x:v>
      </x:c>
      <x:c r="D6" s="148" t="n">
        <x:v>46262</x:v>
      </x:c>
      <x:c r="E6" s="124" t="str">
        <x:v>Pending</x:v>
      </x:c>
      <x:c r="F6" s="124" t="str">
        <x:v>Avoid test-window delay.</x:v>
      </x:c>
      <x:c r="G6" s="124" t="str">
        <x:v>Test Lead to confirm calibration and compatibility.</x:v>
      </x:c>
      <x:c r="H6" s="117"/>
      <x:c r="I6" s="117"/>
      <x:c r="J6" s="117"/>
      <x:c r="K6" s="117"/>
      <x:c r="L6" s="117"/>
      <x:c r="M6" s="117"/>
      <x:c r="N6" s="117"/>
      <x:c r="O6" s="117"/>
      <x:c r="P6" s="117"/>
      <x:c r="Q6" s="117"/>
      <x:c r="R6" s="117"/>
      <x:c r="S6" s="117"/>
      <x:c r="T6" s="117"/>
      <x:c r="U6" s="117"/>
      <x:c r="V6" s="117"/>
      <x:c r="W6" s="117"/>
      <x:c r="X6" s="117"/>
      <x:c r="Y6" s="117"/>
      <x:c r="Z6" s="117"/>
    </x:row>
    <x:row r="7">
      <x:c r="A7" s="124" t="str">
        <x:v>D-03</x:v>
      </x:c>
      <x:c r="B7" s="124" t="str">
        <x:v>Proceed with controlled document revision after engineering disposition.</x:v>
      </x:c>
      <x:c r="C7" s="124" t="str">
        <x:v>Engineering / Doc Control</x:v>
      </x:c>
      <x:c r="D7" s="148" t="n">
        <x:v>46254</x:v>
      </x:c>
      <x:c r="E7" s="124" t="str">
        <x:v>Approved</x:v>
      </x:c>
      <x:c r="F7" s="124" t="str">
        <x:v>Maintains one controlled installation baseline.</x:v>
      </x:c>
      <x:c r="G7" s="124" t="str">
        <x:v>Revision index updated.</x:v>
      </x:c>
      <x:c r="H7" s="117"/>
      <x:c r="I7" s="117"/>
      <x:c r="J7" s="117"/>
      <x:c r="K7" s="117"/>
      <x:c r="L7" s="117"/>
      <x:c r="M7" s="117"/>
      <x:c r="N7" s="117"/>
      <x:c r="O7" s="117"/>
      <x:c r="P7" s="117"/>
      <x:c r="Q7" s="117"/>
      <x:c r="R7" s="117"/>
      <x:c r="S7" s="117"/>
      <x:c r="T7" s="117"/>
      <x:c r="U7" s="117"/>
      <x:c r="V7" s="117"/>
      <x:c r="W7" s="117"/>
      <x:c r="X7" s="117"/>
      <x:c r="Y7" s="117"/>
      <x:c r="Z7" s="117"/>
    </x:row>
    <x:row r="8">
      <x:c r="A8" s="117"/>
      <x:c r="B8" s="117"/>
      <x:c r="C8" s="117"/>
      <x:c r="D8" s="117"/>
      <x:c r="E8" s="117"/>
      <x:c r="F8" s="117"/>
      <x:c r="G8" s="117"/>
      <x:c r="H8" s="117"/>
      <x:c r="I8" s="117"/>
      <x:c r="J8" s="117"/>
      <x:c r="K8" s="117"/>
      <x:c r="L8" s="117"/>
      <x:c r="M8" s="117"/>
      <x:c r="N8" s="117"/>
      <x:c r="O8" s="117"/>
      <x:c r="P8" s="117"/>
      <x:c r="Q8" s="117"/>
      <x:c r="R8" s="117"/>
      <x:c r="S8" s="117"/>
      <x:c r="T8" s="117"/>
      <x:c r="U8" s="117"/>
      <x:c r="V8" s="117"/>
      <x:c r="W8" s="117"/>
      <x:c r="X8" s="117"/>
      <x:c r="Y8" s="117"/>
      <x:c r="Z8" s="117"/>
    </x:row>
    <x:row r="9">
      <x:c r="A9" s="117"/>
      <x:c r="B9" s="117"/>
      <x:c r="C9" s="117"/>
      <x:c r="D9" s="117"/>
      <x:c r="E9" s="117"/>
      <x:c r="F9" s="117"/>
      <x:c r="G9" s="117"/>
      <x:c r="H9" s="117"/>
      <x:c r="I9" s="117"/>
      <x:c r="J9" s="117"/>
      <x:c r="K9" s="117"/>
      <x:c r="L9" s="117"/>
      <x:c r="M9" s="117"/>
      <x:c r="N9" s="117"/>
      <x:c r="O9" s="117"/>
      <x:c r="P9" s="117"/>
      <x:c r="Q9" s="117"/>
      <x:c r="R9" s="117"/>
      <x:c r="S9" s="117"/>
      <x:c r="T9" s="117"/>
      <x:c r="U9" s="117"/>
      <x:c r="V9" s="117"/>
      <x:c r="W9" s="117"/>
      <x:c r="X9" s="117"/>
      <x:c r="Y9" s="117"/>
      <x:c r="Z9" s="117"/>
    </x:row>
    <x:row r="10">
      <x:c r="A10" s="91" t="str">
        <x:v>Escalation Trigger</x:v>
      </x:c>
      <x:c r="B10" s="91" t="str">
        <x:v>Required Response</x:v>
      </x:c>
      <x:c r="C10" s="117"/>
      <x:c r="D10" s="117"/>
      <x:c r="E10" s="117"/>
      <x:c r="F10" s="117"/>
      <x:c r="G10" s="117"/>
      <x:c r="H10" s="117"/>
      <x:c r="I10" s="117"/>
      <x:c r="J10" s="117"/>
      <x:c r="K10" s="117"/>
      <x:c r="L10" s="117"/>
      <x:c r="M10" s="117"/>
      <x:c r="N10" s="117"/>
      <x:c r="O10" s="117"/>
      <x:c r="P10" s="117"/>
      <x:c r="Q10" s="117"/>
      <x:c r="R10" s="117"/>
      <x:c r="S10" s="117"/>
      <x:c r="T10" s="117"/>
      <x:c r="U10" s="117"/>
      <x:c r="V10" s="117"/>
      <x:c r="W10" s="117"/>
      <x:c r="X10" s="117"/>
      <x:c r="Y10" s="117"/>
      <x:c r="Z10" s="117"/>
    </x:row>
    <x:row r="11">
      <x:c r="A11" s="124" t="str">
        <x:v>Any forecast movement to final completion date</x:v>
      </x:c>
      <x:c r="B11" s="124" t="str">
        <x:v>Immediate program-lead notification and documented recovery options.</x:v>
      </x:c>
      <x:c r="C11" s="117"/>
      <x:c r="D11" s="117"/>
      <x:c r="E11" s="117"/>
      <x:c r="F11" s="117"/>
      <x:c r="G11" s="117"/>
      <x:c r="H11" s="117"/>
      <x:c r="I11" s="117"/>
      <x:c r="J11" s="117"/>
      <x:c r="K11" s="117"/>
      <x:c r="L11" s="117"/>
      <x:c r="M11" s="117"/>
      <x:c r="N11" s="117"/>
      <x:c r="O11" s="117"/>
      <x:c r="P11" s="117"/>
      <x:c r="Q11" s="117"/>
      <x:c r="R11" s="117"/>
      <x:c r="S11" s="117"/>
      <x:c r="T11" s="117"/>
      <x:c r="U11" s="117"/>
      <x:c r="V11" s="117"/>
      <x:c r="W11" s="117"/>
      <x:c r="X11" s="117"/>
      <x:c r="Y11" s="117"/>
      <x:c r="Z11" s="117"/>
    </x:row>
    <x:row r="12">
      <x:c r="A12" s="124" t="str">
        <x:v>Critical predecessor overdue by more than two business days</x:v>
      </x:c>
      <x:c r="B12" s="124" t="str">
        <x:v>Owner escalation and daily review until recovered or rebaselined by authorized leadership.</x:v>
      </x:c>
      <x:c r="C12" s="117"/>
      <x:c r="D12" s="117"/>
      <x:c r="E12" s="117"/>
      <x:c r="F12" s="117"/>
      <x:c r="G12" s="117"/>
      <x:c r="H12" s="117"/>
      <x:c r="I12" s="117"/>
      <x:c r="J12" s="117"/>
      <x:c r="K12" s="117"/>
      <x:c r="L12" s="117"/>
      <x:c r="M12" s="117"/>
      <x:c r="N12" s="117"/>
      <x:c r="O12" s="117"/>
      <x:c r="P12" s="117"/>
      <x:c r="Q12" s="117"/>
      <x:c r="R12" s="117"/>
      <x:c r="S12" s="117"/>
      <x:c r="T12" s="117"/>
      <x:c r="U12" s="117"/>
      <x:c r="V12" s="117"/>
      <x:c r="W12" s="117"/>
      <x:c r="X12" s="117"/>
      <x:c r="Y12" s="117"/>
      <x:c r="Z12" s="117"/>
    </x:row>
    <x:row r="13">
      <x:c r="A13" s="124" t="str">
        <x:v>Engineering or quality disposition blocks execution</x:v>
      </x:c>
      <x:c r="B13" s="124" t="str">
        <x:v>Stop affected work; track the issue and decision timeline without assuming technical authority.</x:v>
      </x:c>
      <x:c r="C13" s="117"/>
      <x:c r="D13" s="117"/>
      <x:c r="E13" s="117"/>
      <x:c r="F13" s="117"/>
      <x:c r="G13" s="117"/>
      <x:c r="H13" s="117"/>
      <x:c r="I13" s="117"/>
      <x:c r="J13" s="117"/>
      <x:c r="K13" s="117"/>
      <x:c r="L13" s="117"/>
      <x:c r="M13" s="117"/>
      <x:c r="N13" s="117"/>
      <x:c r="O13" s="117"/>
      <x:c r="P13" s="117"/>
      <x:c r="Q13" s="117"/>
      <x:c r="R13" s="117"/>
      <x:c r="S13" s="117"/>
      <x:c r="T13" s="117"/>
      <x:c r="U13" s="117"/>
      <x:c r="V13" s="117"/>
      <x:c r="W13" s="117"/>
      <x:c r="X13" s="117"/>
      <x:c r="Y13" s="117"/>
      <x:c r="Z13" s="117"/>
    </x:row>
    <x:row r="14">
      <x:c r="A14" s="124" t="str">
        <x:v>Potential exposure of classified, CUI, export-controlled, proprietary, or personal information</x:v>
      </x:c>
      <x:c r="B14" s="124" t="str">
        <x:v>Do not enter content in this sample format; use the authorized environment and security procedures.</x:v>
      </x:c>
      <x:c r="C14" s="117"/>
      <x:c r="D14" s="117"/>
      <x:c r="E14" s="117"/>
      <x:c r="F14" s="117"/>
      <x:c r="G14" s="117"/>
      <x:c r="H14" s="117"/>
      <x:c r="I14" s="117"/>
      <x:c r="J14" s="117"/>
      <x:c r="K14" s="117"/>
      <x:c r="L14" s="117"/>
      <x:c r="M14" s="117"/>
      <x:c r="N14" s="117"/>
      <x:c r="O14" s="117"/>
      <x:c r="P14" s="117"/>
      <x:c r="Q14" s="117"/>
      <x:c r="R14" s="117"/>
      <x:c r="S14" s="117"/>
      <x:c r="T14" s="117"/>
      <x:c r="U14" s="117"/>
      <x:c r="V14" s="117"/>
      <x:c r="W14" s="117"/>
      <x:c r="X14" s="117"/>
      <x:c r="Y14" s="117"/>
      <x:c r="Z14" s="117"/>
    </x:row>
    <x:row r="15">
      <x:c r="A15" s="117"/>
      <x:c r="B15" s="117"/>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c r="Z15" s="117"/>
    </x:row>
    <x:row r="16">
      <x:c r="A16" s="117"/>
      <x:c r="B16" s="117"/>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c r="Z16" s="117"/>
    </x:row>
    <x:row r="17">
      <x:c r="A17" s="117"/>
      <x:c r="B17" s="117"/>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c r="Z17" s="117"/>
    </x:row>
    <x:row r="18">
      <x:c r="A18" s="117"/>
      <x:c r="B18" s="117"/>
      <x:c r="C18" s="117"/>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c r="Z18" s="117"/>
    </x:row>
    <x:row r="19">
      <x:c r="A19" s="117"/>
      <x:c r="B19" s="117"/>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c r="Z19" s="117"/>
    </x:row>
    <x:row r="20">
      <x:c r="A20" s="117"/>
      <x:c r="B20" s="117"/>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c r="Z20" s="117"/>
    </x:row>
    <x:row r="21">
      <x:c r="A21" s="117"/>
      <x:c r="B21" s="117"/>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c r="Z21" s="117"/>
    </x:row>
    <x:row r="22">
      <x:c r="A22" s="117"/>
      <x:c r="B22" s="117"/>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c r="Z22" s="117"/>
    </x:row>
    <x:row r="23">
      <x:c r="A23" s="117"/>
      <x:c r="B23" s="117"/>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c r="Z23" s="117"/>
    </x:row>
    <x:row r="24">
      <x:c r="A24" s="117"/>
      <x:c r="B24" s="117"/>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c r="Z24" s="117"/>
    </x:row>
    <x:row r="25">
      <x:c r="A25" s="117"/>
      <x:c r="B25" s="117"/>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c r="Z25" s="117"/>
    </x:row>
    <x:row r="26">
      <x:c r="A26" s="117"/>
      <x:c r="B26" s="117"/>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c r="Z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sheetData>
  <x:mergeCells>
    <x:mergeCell ref="A1:G1"/>
  </x:mergeCells>
  <x:conditionalFormatting sqref="E5:E7">
    <x:cfRule type="expression" dxfId="11" priority="1">
      <x:formula>E5="Pending"</x:formula>
    </x:cfRule>
    <x:cfRule type="expression" dxfId="12" priority="2">
      <x:formula>E5="Approved"</x:formula>
    </x:cfRule>
  </x:conditionalFormatting>
  <x:dataValidations count="1">
    <x:dataValidation type="list" sqref="E5:E7">
      <x:formula1>"Pending,Approved,Rejected"</x:formula1>
    </x:dataValidation>
  </x:dataValidations>
  <x:pageMargins left="0.7" right="0.7" top="0.75" bottom="0.75" header="0.3" footer="0.3"/>
  <x:tableParts count="1">
    <x:tablePart xmlns:r="http://schemas.openxmlformats.org/officeDocument/2006/relationships" r:id="R1df50be7a6ea4814"/>
  </x:tableParts>
</x:worksheet>
</file>

<file path=xl/worksheets/sheet7.xml><?xml version="1.0" encoding="utf-8"?>
<x:worksheet xmlns:x="http://schemas.openxmlformats.org/spreadsheetml/2006/main">
  <x:sheetFormatPr defaultRowHeight="15"/>
  <x:cols>
    <x:col min="1" max="1" width="42" hidden="0" customWidth="1"/>
    <x:col min="2" max="2" width="42" hidden="0" customWidth="1"/>
    <x:col min="3" max="3" width="18" hidden="0" customWidth="1"/>
    <x:col min="4" max="4" width="18" hidden="0" customWidth="1"/>
    <x:col min="5" max="5" width="36" hidden="0" customWidth="1"/>
    <x:col min="6" max="6" width="18" hidden="0" customWidth="1"/>
  </x:cols>
  <x:sheetData>
    <x:row r="1" ht="32" customHeight="1">
      <x:c r="A1" s="116" t="str">
        <x:v>5. WEEKLY PROGRAM STATUS REPORT</x:v>
      </x:c>
      <x:c r="B1" s="116"/>
      <x:c r="C1" s="116"/>
      <x:c r="D1" s="116"/>
      <x:c r="E1" s="116"/>
      <x:c r="F1" s="116"/>
      <x:c r="G1" s="117"/>
      <x:c r="H1" s="117"/>
      <x:c r="I1" s="117"/>
      <x:c r="J1" s="117"/>
      <x:c r="K1" s="117"/>
      <x:c r="L1" s="117"/>
      <x:c r="M1" s="117"/>
      <x:c r="N1" s="117"/>
      <x:c r="O1" s="117"/>
      <x:c r="P1" s="117"/>
      <x:c r="Q1" s="117"/>
      <x:c r="R1" s="117"/>
      <x:c r="S1" s="117"/>
      <x:c r="T1" s="117"/>
      <x:c r="U1" s="117"/>
      <x:c r="V1" s="117"/>
      <x:c r="W1" s="117"/>
      <x:c r="X1" s="117"/>
      <x:c r="Y1" s="117"/>
      <x:c r="Z1" s="117"/>
    </x:row>
    <x:row r="2" ht="28" customHeight="1">
      <x:c r="A2" s="90" t="str">
        <x:v>Reporting period: 17–21 Aug 2026 | Prepared for demonstration purposes</x:v>
      </x:c>
      <x:c r="B2" s="90"/>
      <x:c r="C2" s="90"/>
      <x:c r="D2" s="90"/>
      <x:c r="E2" s="90"/>
      <x:c r="F2" s="90"/>
      <x:c r="G2" s="117"/>
      <x:c r="H2" s="117"/>
      <x:c r="I2" s="117"/>
      <x:c r="J2" s="117"/>
      <x:c r="K2" s="117"/>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x:c r="A4" s="91" t="str">
        <x:v>Overall</x:v>
      </x:c>
      <x:c r="B4" s="91" t="str">
        <x:v>Schedule</x:v>
      </x:c>
      <x:c r="C4" s="91" t="str">
        <x:v>Technical</x:v>
      </x:c>
      <x:c r="D4" s="91" t="str">
        <x:v>Material</x:v>
      </x:c>
      <x:c r="E4" s="91" t="str">
        <x:v>Quality</x:v>
      </x:c>
      <x:c r="F4" s="91" t="str">
        <x:v>Documentation</x:v>
      </x:c>
      <x:c r="G4" s="117"/>
      <x:c r="H4" s="117"/>
      <x:c r="I4" s="117"/>
      <x:c r="J4" s="117"/>
      <x:c r="K4" s="117"/>
      <x:c r="L4" s="117"/>
      <x:c r="M4" s="117"/>
      <x:c r="N4" s="117"/>
      <x:c r="O4" s="117"/>
      <x:c r="P4" s="117"/>
      <x:c r="Q4" s="117"/>
      <x:c r="R4" s="117"/>
      <x:c r="S4" s="117"/>
      <x:c r="T4" s="117"/>
      <x:c r="U4" s="117"/>
      <x:c r="V4" s="117"/>
      <x:c r="W4" s="117"/>
      <x:c r="X4" s="117"/>
      <x:c r="Y4" s="117"/>
      <x:c r="Z4" s="117"/>
    </x:row>
    <x:row r="5">
      <x:c r="A5" s="156" t="str">
        <x:v>AMBER</x:v>
      </x:c>
      <x:c r="B5" s="156" t="str">
        <x:v>AMBER</x:v>
      </x:c>
      <x:c r="C5" s="156" t="str">
        <x:v>AMBER</x:v>
      </x:c>
      <x:c r="D5" s="156" t="str">
        <x:v>AMBER</x:v>
      </x:c>
      <x:c r="E5" s="157" t="str">
        <x:v>GREEN</x:v>
      </x:c>
      <x:c r="F5" s="157" t="str">
        <x:v>GREEN</x:v>
      </x:c>
      <x:c r="G5" s="117"/>
      <x:c r="H5" s="117"/>
      <x:c r="I5" s="117"/>
      <x:c r="J5" s="117"/>
      <x:c r="K5" s="117"/>
      <x:c r="L5" s="117"/>
      <x:c r="M5" s="117"/>
      <x:c r="N5" s="117"/>
      <x:c r="O5" s="117"/>
      <x:c r="P5" s="117"/>
      <x:c r="Q5" s="117"/>
      <x:c r="R5" s="117"/>
      <x:c r="S5" s="117"/>
      <x:c r="T5" s="117"/>
      <x:c r="U5" s="117"/>
      <x:c r="V5" s="117"/>
      <x:c r="W5" s="117"/>
      <x:c r="X5" s="117"/>
      <x:c r="Y5" s="117"/>
      <x:c r="Z5" s="117"/>
    </x:row>
    <x:row r="6">
      <x:c r="A6" s="117"/>
      <x:c r="B6" s="117"/>
      <x:c r="C6" s="117"/>
      <x:c r="D6" s="117"/>
      <x:c r="E6" s="117"/>
      <x:c r="F6" s="117"/>
      <x:c r="G6" s="117"/>
      <x:c r="H6" s="117"/>
      <x:c r="I6" s="117"/>
      <x:c r="J6" s="117"/>
      <x:c r="K6" s="117"/>
      <x:c r="L6" s="117"/>
      <x:c r="M6" s="117"/>
      <x:c r="N6" s="117"/>
      <x:c r="O6" s="117"/>
      <x:c r="P6" s="117"/>
      <x:c r="Q6" s="117"/>
      <x:c r="R6" s="117"/>
      <x:c r="S6" s="117"/>
      <x:c r="T6" s="117"/>
      <x:c r="U6" s="117"/>
      <x:c r="V6" s="117"/>
      <x:c r="W6" s="117"/>
      <x:c r="X6" s="117"/>
      <x:c r="Y6" s="117"/>
      <x:c r="Z6" s="117"/>
    </x:row>
    <x:row r="7">
      <x:c r="A7" s="91" t="str">
        <x:v>EXECUTIVE SUMMARY</x:v>
      </x:c>
      <x:c r="B7" s="91"/>
      <x:c r="C7" s="91"/>
      <x:c r="D7" s="91"/>
      <x:c r="E7" s="91"/>
      <x:c r="F7" s="91"/>
      <x:c r="G7" s="117"/>
      <x:c r="H7" s="117"/>
      <x:c r="I7" s="117"/>
      <x:c r="J7" s="117"/>
      <x:c r="K7" s="117"/>
      <x:c r="L7" s="117"/>
      <x:c r="M7" s="117"/>
      <x:c r="N7" s="117"/>
      <x:c r="O7" s="117"/>
      <x:c r="P7" s="117"/>
      <x:c r="Q7" s="117"/>
      <x:c r="R7" s="117"/>
      <x:c r="S7" s="117"/>
      <x:c r="T7" s="117"/>
      <x:c r="U7" s="117"/>
      <x:c r="V7" s="117"/>
      <x:c r="W7" s="117"/>
      <x:c r="X7" s="117"/>
      <x:c r="Y7" s="117"/>
      <x:c r="Z7" s="117"/>
    </x:row>
    <x:row r="8">
      <x:c r="A8" s="158" t="str">
        <x:v>The fictional modernization effort remains forecast to complete on 18 Sep 2026. Two predecessor activities require management attention: replacement-material verification and an engineering drawing disposition. Current mitigation preserves the installation start, but remaining schedule float is reduced. No safety, quality, or final-completion breach is presently forecast.</x:v>
      </x:c>
      <x:c r="B8" s="158"/>
      <x:c r="C8" s="158"/>
      <x:c r="D8" s="158"/>
      <x:c r="E8" s="158"/>
      <x:c r="F8" s="158"/>
      <x:c r="G8" s="117"/>
      <x:c r="H8" s="117"/>
      <x:c r="I8" s="117"/>
      <x:c r="J8" s="117"/>
      <x:c r="K8" s="117"/>
      <x:c r="L8" s="117"/>
      <x:c r="M8" s="117"/>
      <x:c r="N8" s="117"/>
      <x:c r="O8" s="117"/>
      <x:c r="P8" s="117"/>
      <x:c r="Q8" s="117"/>
      <x:c r="R8" s="117"/>
      <x:c r="S8" s="117"/>
      <x:c r="T8" s="117"/>
      <x:c r="U8" s="117"/>
      <x:c r="V8" s="117"/>
      <x:c r="W8" s="117"/>
      <x:c r="X8" s="117"/>
      <x:c r="Y8" s="117"/>
      <x:c r="Z8" s="117"/>
    </x:row>
    <x:row r="9">
      <x:c r="A9" s="158"/>
      <x:c r="B9" s="158"/>
      <x:c r="C9" s="158"/>
      <x:c r="D9" s="158"/>
      <x:c r="E9" s="158"/>
      <x:c r="F9" s="158"/>
      <x:c r="G9" s="117"/>
      <x:c r="H9" s="117"/>
      <x:c r="I9" s="117"/>
      <x:c r="J9" s="117"/>
      <x:c r="K9" s="117"/>
      <x:c r="L9" s="117"/>
      <x:c r="M9" s="117"/>
      <x:c r="N9" s="117"/>
      <x:c r="O9" s="117"/>
      <x:c r="P9" s="117"/>
      <x:c r="Q9" s="117"/>
      <x:c r="R9" s="117"/>
      <x:c r="S9" s="117"/>
      <x:c r="T9" s="117"/>
      <x:c r="U9" s="117"/>
      <x:c r="V9" s="117"/>
      <x:c r="W9" s="117"/>
      <x:c r="X9" s="117"/>
      <x:c r="Y9" s="117"/>
      <x:c r="Z9" s="117"/>
    </x:row>
    <x:row r="10">
      <x:c r="A10" s="158"/>
      <x:c r="B10" s="158"/>
      <x:c r="C10" s="158"/>
      <x:c r="D10" s="158"/>
      <x:c r="E10" s="158"/>
      <x:c r="F10" s="158"/>
      <x:c r="G10" s="117"/>
      <x:c r="H10" s="117"/>
      <x:c r="I10" s="117"/>
      <x:c r="J10" s="117"/>
      <x:c r="K10" s="117"/>
      <x:c r="L10" s="117"/>
      <x:c r="M10" s="117"/>
      <x:c r="N10" s="117"/>
      <x:c r="O10" s="117"/>
      <x:c r="P10" s="117"/>
      <x:c r="Q10" s="117"/>
      <x:c r="R10" s="117"/>
      <x:c r="S10" s="117"/>
      <x:c r="T10" s="117"/>
      <x:c r="U10" s="117"/>
      <x:c r="V10" s="117"/>
      <x:c r="W10" s="117"/>
      <x:c r="X10" s="117"/>
      <x:c r="Y10" s="117"/>
      <x:c r="Z10" s="117"/>
    </x:row>
    <x:row r="11">
      <x:c r="A11" s="117"/>
      <x:c r="B11" s="117"/>
      <x:c r="C11" s="117"/>
      <x:c r="D11" s="117"/>
      <x:c r="E11" s="117"/>
      <x:c r="F11" s="117"/>
      <x:c r="G11" s="117"/>
      <x:c r="H11" s="117"/>
      <x:c r="I11" s="117"/>
      <x:c r="J11" s="117"/>
      <x:c r="K11" s="117"/>
      <x:c r="L11" s="117"/>
      <x:c r="M11" s="117"/>
      <x:c r="N11" s="117"/>
      <x:c r="O11" s="117"/>
      <x:c r="P11" s="117"/>
      <x:c r="Q11" s="117"/>
      <x:c r="R11" s="117"/>
      <x:c r="S11" s="117"/>
      <x:c r="T11" s="117"/>
      <x:c r="U11" s="117"/>
      <x:c r="V11" s="117"/>
      <x:c r="W11" s="117"/>
      <x:c r="X11" s="117"/>
      <x:c r="Y11" s="117"/>
      <x:c r="Z11" s="117"/>
    </x:row>
    <x:row r="12">
      <x:c r="A12" s="91" t="str">
        <x:v>Accomplished This Period</x:v>
      </x:c>
      <x:c r="B12" s="91" t="str">
        <x:v>Planned Next Period</x:v>
      </x:c>
      <x:c r="C12" s="117"/>
      <x:c r="D12" s="117"/>
      <x:c r="E12" s="117"/>
      <x:c r="F12" s="117"/>
      <x:c r="G12" s="117"/>
      <x:c r="H12" s="117"/>
      <x:c r="I12" s="117"/>
      <x:c r="J12" s="117"/>
      <x:c r="K12" s="117"/>
      <x:c r="L12" s="117"/>
      <x:c r="M12" s="117"/>
      <x:c r="N12" s="117"/>
      <x:c r="O12" s="117"/>
      <x:c r="P12" s="117"/>
      <x:c r="Q12" s="117"/>
      <x:c r="R12" s="117"/>
      <x:c r="S12" s="117"/>
      <x:c r="T12" s="117"/>
      <x:c r="U12" s="117"/>
      <x:c r="V12" s="117"/>
      <x:c r="W12" s="117"/>
      <x:c r="X12" s="117"/>
      <x:c r="Y12" s="117"/>
      <x:c r="Z12" s="117"/>
    </x:row>
    <x:row r="13">
      <x:c r="A13" s="124" t="str">
        <x:v>Completed technical-package review and revision index.</x:v>
      </x:c>
      <x:c r="B13" s="124" t="str">
        <x:v>Obtain engineering disposition and publish controlled checklist revision.</x:v>
      </x:c>
      <x:c r="C13" s="117"/>
      <x:c r="D13" s="117"/>
      <x:c r="E13" s="117"/>
      <x:c r="F13" s="117"/>
      <x:c r="G13" s="117"/>
      <x:c r="H13" s="117"/>
      <x:c r="I13" s="117"/>
      <x:c r="J13" s="117"/>
      <x:c r="K13" s="117"/>
      <x:c r="L13" s="117"/>
      <x:c r="M13" s="117"/>
      <x:c r="N13" s="117"/>
      <x:c r="O13" s="117"/>
      <x:c r="P13" s="117"/>
      <x:c r="Q13" s="117"/>
      <x:c r="R13" s="117"/>
      <x:c r="S13" s="117"/>
      <x:c r="T13" s="117"/>
      <x:c r="U13" s="117"/>
      <x:c r="V13" s="117"/>
      <x:c r="W13" s="117"/>
      <x:c r="X13" s="117"/>
      <x:c r="Y13" s="117"/>
      <x:c r="Z13" s="117"/>
    </x:row>
    <x:row r="14">
      <x:c r="A14" s="124" t="str">
        <x:v>Verified 85% of required replacement material.</x:v>
      </x:c>
      <x:c r="B14" s="124" t="str">
        <x:v>Close remaining material receipt and verification actions.</x:v>
      </x:c>
      <x:c r="C14" s="117"/>
      <x:c r="D14" s="117"/>
      <x:c r="E14" s="117"/>
      <x:c r="F14" s="117"/>
      <x:c r="G14" s="117"/>
      <x:c r="H14" s="117"/>
      <x:c r="I14" s="117"/>
      <x:c r="J14" s="117"/>
      <x:c r="K14" s="117"/>
      <x:c r="L14" s="117"/>
      <x:c r="M14" s="117"/>
      <x:c r="N14" s="117"/>
      <x:c r="O14" s="117"/>
      <x:c r="P14" s="117"/>
      <x:c r="Q14" s="117"/>
      <x:c r="R14" s="117"/>
      <x:c r="S14" s="117"/>
      <x:c r="T14" s="117"/>
      <x:c r="U14" s="117"/>
      <x:c r="V14" s="117"/>
      <x:c r="W14" s="117"/>
      <x:c r="X14" s="117"/>
      <x:c r="Y14" s="117"/>
      <x:c r="Z14" s="117"/>
    </x:row>
    <x:row r="15">
      <x:c r="A15" s="124" t="str">
        <x:v>Initiated access-roster approval and work-area coordination.</x:v>
      </x:c>
      <x:c r="B15" s="124" t="str">
        <x:v>Conduct installation-readiness review and confirm quality hold points.</x:v>
      </x:c>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c r="Z15" s="117"/>
    </x:row>
    <x:row r="16">
      <x:c r="A16" s="124" t="str">
        <x:v>Established test-equipment reservation and backup option.</x:v>
      </x:c>
      <x:c r="B16" s="124" t="str">
        <x:v>Finalize removal authorization package and execution handoff.</x:v>
      </x:c>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c r="Z16" s="117"/>
    </x:row>
    <x:row r="17">
      <x:c r="A17" s="117"/>
      <x:c r="B17" s="117"/>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c r="Z17" s="117"/>
    </x:row>
    <x:row r="18">
      <x:c r="A18" s="91" t="str">
        <x:v>Priority</x:v>
      </x:c>
      <x:c r="B18" s="91" t="str">
        <x:v>Item</x:v>
      </x:c>
      <x:c r="C18" s="91" t="str">
        <x:v>Owner</x:v>
      </x:c>
      <x:c r="D18" s="91" t="str">
        <x:v>Needed By</x:v>
      </x:c>
      <x:c r="E18" s="91" t="str">
        <x:v>Impact if Unresolved</x:v>
      </x:c>
      <x:c r="F18" s="117"/>
      <x:c r="G18" s="117"/>
      <x:c r="H18" s="117"/>
      <x:c r="I18" s="117"/>
      <x:c r="J18" s="117"/>
      <x:c r="K18" s="117"/>
      <x:c r="L18" s="117"/>
      <x:c r="M18" s="117"/>
      <x:c r="N18" s="117"/>
      <x:c r="O18" s="117"/>
      <x:c r="P18" s="117"/>
      <x:c r="Q18" s="117"/>
      <x:c r="R18" s="117"/>
      <x:c r="S18" s="117"/>
      <x:c r="T18" s="117"/>
      <x:c r="U18" s="117"/>
      <x:c r="V18" s="117"/>
      <x:c r="W18" s="117"/>
      <x:c r="X18" s="117"/>
      <x:c r="Y18" s="117"/>
      <x:c r="Z18" s="117"/>
    </x:row>
    <x:row r="19">
      <x:c r="A19" s="124" t="n">
        <x:v>1</x:v>
      </x:c>
      <x:c r="B19" s="124" t="str">
        <x:v>Engineering disposition for cable-routing discrepancy</x:v>
      </x:c>
      <x:c r="C19" s="124" t="str">
        <x:v>Engineering Lead</x:v>
      </x:c>
      <x:c r="D19" s="148" t="n">
        <x:v>46258</x:v>
      </x:c>
      <x:c r="E19" s="124" t="str">
        <x:v>May block removal authorization and consume remaining schedule float.</x:v>
      </x:c>
      <x:c r="F19" s="117"/>
      <x:c r="G19" s="117"/>
      <x:c r="H19" s="117"/>
      <x:c r="I19" s="117"/>
      <x:c r="J19" s="117"/>
      <x:c r="K19" s="117"/>
      <x:c r="L19" s="117"/>
      <x:c r="M19" s="117"/>
      <x:c r="N19" s="117"/>
      <x:c r="O19" s="117"/>
      <x:c r="P19" s="117"/>
      <x:c r="Q19" s="117"/>
      <x:c r="R19" s="117"/>
      <x:c r="S19" s="117"/>
      <x:c r="T19" s="117"/>
      <x:c r="U19" s="117"/>
      <x:c r="V19" s="117"/>
      <x:c r="W19" s="117"/>
      <x:c r="X19" s="117"/>
      <x:c r="Y19" s="117"/>
      <x:c r="Z19" s="117"/>
    </x:row>
    <x:row r="20">
      <x:c r="A20" s="124" t="n">
        <x:v>2</x:v>
      </x:c>
      <x:c r="B20" s="124" t="str">
        <x:v>Confirmed final material receipt date</x:v>
      </x:c>
      <x:c r="C20" s="124" t="str">
        <x:v>Supply Lead</x:v>
      </x:c>
      <x:c r="D20" s="148" t="n">
        <x:v>46258</x:v>
      </x:c>
      <x:c r="E20" s="124" t="str">
        <x:v>Could drive weekend-work decision or installation resequencing.</x:v>
      </x:c>
      <x:c r="F20" s="117"/>
      <x:c r="G20" s="117"/>
      <x:c r="H20" s="117"/>
      <x:c r="I20" s="117"/>
      <x:c r="J20" s="117"/>
      <x:c r="K20" s="117"/>
      <x:c r="L20" s="117"/>
      <x:c r="M20" s="117"/>
      <x:c r="N20" s="117"/>
      <x:c r="O20" s="117"/>
      <x:c r="P20" s="117"/>
      <x:c r="Q20" s="117"/>
      <x:c r="R20" s="117"/>
      <x:c r="S20" s="117"/>
      <x:c r="T20" s="117"/>
      <x:c r="U20" s="117"/>
      <x:c r="V20" s="117"/>
      <x:c r="W20" s="117"/>
      <x:c r="X20" s="117"/>
      <x:c r="Y20" s="117"/>
      <x:c r="Z20" s="117"/>
    </x:row>
    <x:row r="21">
      <x:c r="A21" s="124" t="n">
        <x:v>3</x:v>
      </x:c>
      <x:c r="B21" s="124" t="str">
        <x:v>Weekend-work contingency decision</x:v>
      </x:c>
      <x:c r="C21" s="124" t="str">
        <x:v>Program Lead</x:v>
      </x:c>
      <x:c r="D21" s="148" t="n">
        <x:v>46260</x:v>
      </x:c>
      <x:c r="E21" s="124" t="str">
        <x:v>Late decision reduces available recovery options.</x:v>
      </x:c>
      <x:c r="F21" s="117"/>
      <x:c r="G21" s="117"/>
      <x:c r="H21" s="117"/>
      <x:c r="I21" s="117"/>
      <x:c r="J21" s="117"/>
      <x:c r="K21" s="117"/>
      <x:c r="L21" s="117"/>
      <x:c r="M21" s="117"/>
      <x:c r="N21" s="117"/>
      <x:c r="O21" s="117"/>
      <x:c r="P21" s="117"/>
      <x:c r="Q21" s="117"/>
      <x:c r="R21" s="117"/>
      <x:c r="S21" s="117"/>
      <x:c r="T21" s="117"/>
      <x:c r="U21" s="117"/>
      <x:c r="V21" s="117"/>
      <x:c r="W21" s="117"/>
      <x:c r="X21" s="117"/>
      <x:c r="Y21" s="117"/>
      <x:c r="Z21" s="117"/>
    </x:row>
    <x:row r="22">
      <x:c r="A22" s="117"/>
      <x:c r="B22" s="117"/>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c r="Z22" s="117"/>
    </x:row>
    <x:row r="23">
      <x:c r="A23" s="91" t="str">
        <x:v>Indicator</x:v>
      </x:c>
      <x:c r="B23" s="91" t="str">
        <x:v>Forecast</x:v>
      </x:c>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c r="Z23" s="117"/>
    </x:row>
    <x:row r="24">
      <x:c r="A24" s="124" t="str">
        <x:v>Baseline finish</x:v>
      </x:c>
      <x:c r="B24" s="148" t="n">
        <x:v>46283</x:v>
      </x:c>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c r="Z24" s="117"/>
    </x:row>
    <x:row r="25">
      <x:c r="A25" s="124" t="str">
        <x:v>Current forecast finish</x:v>
      </x:c>
      <x:c r="B25" s="148" t="n">
        <x:v>46283</x:v>
      </x:c>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c r="Z25" s="117"/>
    </x:row>
    <x:row r="26">
      <x:c r="A26" s="124" t="str">
        <x:v>Near-term critical event</x:v>
      </x:c>
      <x:c r="B26" s="124" t="str">
        <x:v>Removal authorization / start, 31 Aug 2026</x:v>
      </x:c>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c r="Z26" s="117"/>
    </x:row>
    <x:row r="27">
      <x:c r="A27" s="124" t="str">
        <x:v>Management confidence</x:v>
      </x:c>
      <x:c r="B27" s="124" t="str">
        <x:v>Moderate; contingent on closing engineering and material predecessors by 26 Aug</x:v>
      </x:c>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91" t="str">
        <x:v>Demonstrates</x:v>
      </x:c>
      <x:c r="B29" s="91" t="str">
        <x:v>Does Not Claim</x:v>
      </x:c>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24" t="str">
        <x:v>Ability to structure schedules, actions, dependencies, risks, issues, decisions, and weekly reporting into a coherent control package.</x:v>
      </x:c>
      <x:c r="B30" s="124" t="str">
        <x:v>Official Navy approval, contract compliance, technical authority, platform expertise beyond the owner’s disclosed background, or Flowshua federal past performance.</x:v>
      </x:c>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24" t="str">
        <x:v>Ability to translate detailed working data into concise management visibility and escalation points.</x:v>
      </x:c>
      <x:c r="B31" s="124" t="str">
        <x:v>Experience administering EVMS, building a contractual IMS, performing engineering analysis, or handling classified/CUI data outside an authorized environment.</x:v>
      </x:c>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sheetData>
  <x:mergeCells>
    <x:mergeCell ref="A1:F1"/>
    <x:mergeCell ref="A2:F2"/>
    <x:mergeCell ref="A7:F7"/>
    <x:mergeCell ref="A8:F10"/>
  </x:mergeCells>
  <x:pageMargins left="0.7" right="0.7" top="0.75" bottom="0.75" header="0.3" footer="0.3"/>
</x:worksheet>
</file>

<file path=xl/worksheets/sheet8.xml><?xml version="1.0" encoding="utf-8"?>
<x:worksheet xmlns:x="http://schemas.openxmlformats.org/spreadsheetml/2006/main">
  <x:sheetFormatPr defaultRowHeight="15"/>
  <x:cols>
    <x:col min="1" max="1" width="8" hidden="0" customWidth="1"/>
    <x:col min="2" max="2" width="95" hidden="0" customWidth="1"/>
    <x:col min="3" max="3" width="42" hidden="0" customWidth="1"/>
  </x:cols>
  <x:sheetData>
    <x:row r="1" ht="32" customHeight="1">
      <x:c r="A1" s="116" t="str">
        <x:v>1. CONTROL BASIS, SCOPE, AND ETHICAL BOUNDARIES</x:v>
      </x:c>
      <x:c r="B1" s="116"/>
      <x:c r="C1" s="116"/>
      <x:c r="D1" s="116"/>
      <x:c r="E1" s="116"/>
      <x:c r="F1" s="116"/>
      <x:c r="G1" s="117"/>
      <x:c r="H1" s="117"/>
      <x:c r="I1" s="117"/>
      <x:c r="J1" s="117"/>
      <x:c r="K1" s="117"/>
      <x:c r="L1" s="117"/>
      <x:c r="M1" s="117"/>
      <x:c r="N1" s="117"/>
      <x:c r="O1" s="117"/>
      <x:c r="P1" s="117"/>
      <x:c r="Q1" s="117"/>
      <x:c r="R1" s="117"/>
      <x:c r="S1" s="117"/>
      <x:c r="T1" s="117"/>
      <x:c r="U1" s="117"/>
      <x:c r="V1" s="117"/>
      <x:c r="W1" s="117"/>
      <x:c r="X1" s="117"/>
      <x:c r="Y1" s="117"/>
      <x:c r="Z1" s="117"/>
    </x:row>
    <x:row r="2">
      <x:c r="A2" s="117"/>
      <x:c r="B2" s="117"/>
      <x:c r="C2" s="117"/>
      <x:c r="D2" s="117"/>
      <x:c r="E2" s="117"/>
      <x:c r="F2" s="117"/>
      <x:c r="G2" s="117"/>
      <x:c r="H2" s="117"/>
      <x:c r="I2" s="117"/>
      <x:c r="J2" s="117"/>
      <x:c r="K2" s="117"/>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x:c r="A4" s="91" t="str">
        <x:v>PURPOSE OF THIS SAMPLE</x:v>
      </x:c>
      <x:c r="B4" s="91"/>
      <x:c r="C4" s="91"/>
      <x:c r="D4" s="91"/>
      <x:c r="E4" s="91"/>
      <x:c r="F4" s="91"/>
      <x:c r="G4" s="117"/>
      <x:c r="H4" s="117"/>
      <x:c r="I4" s="117"/>
      <x:c r="J4" s="117"/>
      <x:c r="K4" s="117"/>
      <x:c r="L4" s="117"/>
      <x:c r="M4" s="117"/>
      <x:c r="N4" s="117"/>
      <x:c r="O4" s="117"/>
      <x:c r="P4" s="117"/>
      <x:c r="Q4" s="117"/>
      <x:c r="R4" s="117"/>
      <x:c r="S4" s="117"/>
      <x:c r="T4" s="117"/>
      <x:c r="U4" s="117"/>
      <x:c r="V4" s="117"/>
      <x:c r="W4" s="117"/>
      <x:c r="X4" s="117"/>
      <x:c r="Y4" s="117"/>
      <x:c r="Z4" s="117"/>
    </x:row>
    <x:row r="5">
      <x:c r="A5" s="164" t="str">
        <x:v>Demonstrate how Flowshua Projects could organize and report project-control information for a defense maintenance or modernization effort. This artifact is a capability demonstration only. It is not a Navy-directed template, contract deliverable, technical work instruction, or substitute for an authorized program office process.</x:v>
      </x:c>
      <x:c r="B5" s="164"/>
      <x:c r="C5" s="164"/>
      <x:c r="D5" s="164"/>
      <x:c r="E5" s="164"/>
      <x:c r="F5" s="164"/>
      <x:c r="G5" s="117"/>
      <x:c r="H5" s="117"/>
      <x:c r="I5" s="117"/>
      <x:c r="J5" s="117"/>
      <x:c r="K5" s="117"/>
      <x:c r="L5" s="117"/>
      <x:c r="M5" s="117"/>
      <x:c r="N5" s="117"/>
      <x:c r="O5" s="117"/>
      <x:c r="P5" s="117"/>
      <x:c r="Q5" s="117"/>
      <x:c r="R5" s="117"/>
      <x:c r="S5" s="117"/>
      <x:c r="T5" s="117"/>
      <x:c r="U5" s="117"/>
      <x:c r="V5" s="117"/>
      <x:c r="W5" s="117"/>
      <x:c r="X5" s="117"/>
      <x:c r="Y5" s="117"/>
      <x:c r="Z5" s="117"/>
    </x:row>
    <x:row r="6">
      <x:c r="A6" s="164"/>
      <x:c r="B6" s="164"/>
      <x:c r="C6" s="164"/>
      <x:c r="D6" s="164"/>
      <x:c r="E6" s="164"/>
      <x:c r="F6" s="164"/>
      <x:c r="G6" s="117"/>
      <x:c r="H6" s="117"/>
      <x:c r="I6" s="117"/>
      <x:c r="J6" s="117"/>
      <x:c r="K6" s="117"/>
      <x:c r="L6" s="117"/>
      <x:c r="M6" s="117"/>
      <x:c r="N6" s="117"/>
      <x:c r="O6" s="117"/>
      <x:c r="P6" s="117"/>
      <x:c r="Q6" s="117"/>
      <x:c r="R6" s="117"/>
      <x:c r="S6" s="117"/>
      <x:c r="T6" s="117"/>
      <x:c r="U6" s="117"/>
      <x:c r="V6" s="117"/>
      <x:c r="W6" s="117"/>
      <x:c r="X6" s="117"/>
      <x:c r="Y6" s="117"/>
      <x:c r="Z6" s="117"/>
    </x:row>
    <x:row r="7">
      <x:c r="A7" s="117"/>
      <x:c r="B7" s="117"/>
      <x:c r="C7" s="117"/>
      <x:c r="D7" s="117"/>
      <x:c r="E7" s="117"/>
      <x:c r="F7" s="117"/>
      <x:c r="G7" s="117"/>
      <x:c r="H7" s="117"/>
      <x:c r="I7" s="117"/>
      <x:c r="J7" s="117"/>
      <x:c r="K7" s="117"/>
      <x:c r="L7" s="117"/>
      <x:c r="M7" s="117"/>
      <x:c r="N7" s="117"/>
      <x:c r="O7" s="117"/>
      <x:c r="P7" s="117"/>
      <x:c r="Q7" s="117"/>
      <x:c r="R7" s="117"/>
      <x:c r="S7" s="117"/>
      <x:c r="T7" s="117"/>
      <x:c r="U7" s="117"/>
      <x:c r="V7" s="117"/>
      <x:c r="W7" s="117"/>
      <x:c r="X7" s="117"/>
      <x:c r="Y7" s="117"/>
      <x:c r="Z7" s="117"/>
    </x:row>
    <x:row r="8">
      <x:c r="A8" s="91" t="str">
        <x:v>Included in the Sample</x:v>
      </x:c>
      <x:c r="B8" s="91" t="str">
        <x:v>Deliberately Excluded</x:v>
      </x:c>
      <x:c r="C8" s="91" t="str">
        <x:v>Control Objective</x:v>
      </x:c>
      <x:c r="D8" s="117"/>
      <x:c r="E8" s="117"/>
      <x:c r="F8" s="117"/>
      <x:c r="G8" s="117"/>
      <x:c r="H8" s="117"/>
      <x:c r="I8" s="117"/>
      <x:c r="J8" s="117"/>
      <x:c r="K8" s="117"/>
      <x:c r="L8" s="117"/>
      <x:c r="M8" s="117"/>
      <x:c r="N8" s="117"/>
      <x:c r="O8" s="117"/>
      <x:c r="P8" s="117"/>
      <x:c r="Q8" s="117"/>
      <x:c r="R8" s="117"/>
      <x:c r="S8" s="117"/>
      <x:c r="T8" s="117"/>
      <x:c r="U8" s="117"/>
      <x:c r="V8" s="117"/>
      <x:c r="W8" s="117"/>
      <x:c r="X8" s="117"/>
      <x:c r="Y8" s="117"/>
      <x:c r="Z8" s="117"/>
    </x:row>
    <x:row r="9">
      <x:c r="A9" s="124" t="str">
        <x:v>Milestones, sequencing, owners, planned/forecast dates, dependencies, actions, risks, issues, decisions, weekly reporting.</x:v>
      </x:c>
      <x:c r="B9" s="124" t="str">
        <x:v>Real platform identifiers, technical specifications, drawings, alteration/work-item/contract numbers, government personnel, cost-account data, classified/CUI content, proprietary methods.</x:v>
      </x:c>
      <x:c r="C9" s="124" t="str">
        <x:v>Schedule visibility</x:v>
      </x:c>
      <x:c r="D9" s="117"/>
      <x:c r="E9" s="117"/>
      <x:c r="F9" s="117"/>
      <x:c r="G9" s="117"/>
      <x:c r="H9" s="117"/>
      <x:c r="I9" s="117"/>
      <x:c r="J9" s="117"/>
      <x:c r="K9" s="117"/>
      <x:c r="L9" s="117"/>
      <x:c r="M9" s="117"/>
      <x:c r="N9" s="117"/>
      <x:c r="O9" s="117"/>
      <x:c r="P9" s="117"/>
      <x:c r="Q9" s="117"/>
      <x:c r="R9" s="117"/>
      <x:c r="S9" s="117"/>
      <x:c r="T9" s="117"/>
      <x:c r="U9" s="117"/>
      <x:c r="V9" s="117"/>
      <x:c r="W9" s="117"/>
      <x:c r="X9" s="117"/>
      <x:c r="Y9" s="117"/>
      <x:c r="Z9" s="117"/>
    </x:row>
    <x:row r="10">
      <x:c r="A10" s="124" t="str">
        <x:v>Public-source-informed concepts such as POA&amp;M, integrated scheduling, key events, progress updates, and management reporting.</x:v>
      </x:c>
      <x:c r="B10" s="124" t="str">
        <x:v>Claims of NAVSEA approval, contract compliance, or fictional performance as company past performance.</x:v>
      </x:c>
      <x:c r="C10" s="124" t="str">
        <x:v>Ownership and follow-through</x:v>
      </x:c>
      <x:c r="D10" s="117"/>
      <x:c r="E10" s="117"/>
      <x:c r="F10" s="117"/>
      <x:c r="G10" s="117"/>
      <x:c r="H10" s="117"/>
      <x:c r="I10" s="117"/>
      <x:c r="J10" s="117"/>
      <x:c r="K10" s="117"/>
      <x:c r="L10" s="117"/>
      <x:c r="M10" s="117"/>
      <x:c r="N10" s="117"/>
      <x:c r="O10" s="117"/>
      <x:c r="P10" s="117"/>
      <x:c r="Q10" s="117"/>
      <x:c r="R10" s="117"/>
      <x:c r="S10" s="117"/>
      <x:c r="T10" s="117"/>
      <x:c r="U10" s="117"/>
      <x:c r="V10" s="117"/>
      <x:c r="W10" s="117"/>
      <x:c r="X10" s="117"/>
      <x:c r="Y10" s="117"/>
      <x:c r="Z10" s="117"/>
    </x:row>
    <x:row r="11">
      <x:c r="A11" s="124" t="str">
        <x:v>Platform: Training Platform Alpha, a non-real identifier.</x:v>
      </x:c>
      <x:c r="B11" s="124" t="str">
        <x:v>Engineering, quality, safety, contracting, and acceptance authority remain with formally designated authorities.</x:v>
      </x:c>
      <x:c r="C11" s="124" t="str">
        <x:v>Dependency management</x:v>
      </x:c>
      <x:c r="D11" s="117"/>
      <x:c r="E11" s="117"/>
      <x:c r="F11" s="117"/>
      <x:c r="G11" s="117"/>
      <x:c r="H11" s="117"/>
      <x:c r="I11" s="117"/>
      <x:c r="J11" s="117"/>
      <x:c r="K11" s="117"/>
      <x:c r="L11" s="117"/>
      <x:c r="M11" s="117"/>
      <x:c r="N11" s="117"/>
      <x:c r="O11" s="117"/>
      <x:c r="P11" s="117"/>
      <x:c r="Q11" s="117"/>
      <x:c r="R11" s="117"/>
      <x:c r="S11" s="117"/>
      <x:c r="T11" s="117"/>
      <x:c r="U11" s="117"/>
      <x:c r="V11" s="117"/>
      <x:c r="W11" s="117"/>
      <x:c r="X11" s="117"/>
      <x:c r="Y11" s="117"/>
      <x:c r="Z11" s="117"/>
    </x:row>
    <x:row r="12">
      <x:c r="A12" s="124" t="str">
        <x:v>Period: 45 calendar days from kickoff through final closeout.</x:v>
      </x:c>
      <x:c r="B12" s="124" t="str">
        <x:v>No unapproved handling of classified, CUI, export-controlled, procurement-sensitive, proprietary, personal, or operational-security information.</x:v>
      </x:c>
      <x:c r="C12" s="124" t="str">
        <x:v>Decision support</x:v>
      </x:c>
      <x:c r="D12" s="117"/>
      <x:c r="E12" s="117"/>
      <x:c r="F12" s="117"/>
      <x:c r="G12" s="117"/>
      <x:c r="H12" s="117"/>
      <x:c r="I12" s="117"/>
      <x:c r="J12" s="117"/>
      <x:c r="K12" s="117"/>
      <x:c r="L12" s="117"/>
      <x:c r="M12" s="117"/>
      <x:c r="N12" s="117"/>
      <x:c r="O12" s="117"/>
      <x:c r="P12" s="117"/>
      <x:c r="Q12" s="117"/>
      <x:c r="R12" s="117"/>
      <x:c r="S12" s="117"/>
      <x:c r="T12" s="117"/>
      <x:c r="U12" s="117"/>
      <x:c r="V12" s="117"/>
      <x:c r="W12" s="117"/>
      <x:c r="X12" s="117"/>
      <x:c r="Y12" s="117"/>
      <x:c r="Z12" s="117"/>
    </x:row>
    <x:row r="13">
      <x:c r="A13" s="124" t="str">
        <x:v>Status: Green = on plan; Amber = attention; Red = intervention; Blue = informational/not started.</x:v>
      </x:c>
      <x:c r="B13" s="124" t="str">
        <x:v>Do not use this sample as a contractual schedule or authorized technical direction.</x:v>
      </x:c>
      <x:c r="C13" s="124" t="str">
        <x:v>Executive communication</x:v>
      </x:c>
      <x:c r="D13" s="117"/>
      <x:c r="E13" s="117"/>
      <x:c r="F13" s="117"/>
      <x:c r="G13" s="117"/>
      <x:c r="H13" s="117"/>
      <x:c r="I13" s="117"/>
      <x:c r="J13" s="117"/>
      <x:c r="K13" s="117"/>
      <x:c r="L13" s="117"/>
      <x:c r="M13" s="117"/>
      <x:c r="N13" s="117"/>
      <x:c r="O13" s="117"/>
      <x:c r="P13" s="117"/>
      <x:c r="Q13" s="117"/>
      <x:c r="R13" s="117"/>
      <x:c r="S13" s="117"/>
      <x:c r="T13" s="117"/>
      <x:c r="U13" s="117"/>
      <x:c r="V13" s="117"/>
      <x:c r="W13" s="117"/>
      <x:c r="X13" s="117"/>
      <x:c r="Y13" s="117"/>
      <x:c r="Z13" s="117"/>
    </x:row>
    <x:row r="14">
      <x:c r="A14" s="117"/>
      <x:c r="B14" s="117"/>
      <x:c r="C14" s="117"/>
      <x:c r="D14" s="117"/>
      <x:c r="E14" s="117"/>
      <x:c r="F14" s="117"/>
      <x:c r="G14" s="117"/>
      <x:c r="H14" s="117"/>
      <x:c r="I14" s="117"/>
      <x:c r="J14" s="117"/>
      <x:c r="K14" s="117"/>
      <x:c r="L14" s="117"/>
      <x:c r="M14" s="117"/>
      <x:c r="N14" s="117"/>
      <x:c r="O14" s="117"/>
      <x:c r="P14" s="117"/>
      <x:c r="Q14" s="117"/>
      <x:c r="R14" s="117"/>
      <x:c r="S14" s="117"/>
      <x:c r="T14" s="117"/>
      <x:c r="U14" s="117"/>
      <x:c r="V14" s="117"/>
      <x:c r="W14" s="117"/>
      <x:c r="X14" s="117"/>
      <x:c r="Y14" s="117"/>
      <x:c r="Z14" s="117"/>
    </x:row>
    <x:row r="15">
      <x:c r="A15" s="91" t="str">
        <x:v>Control Objective</x:v>
      </x:c>
      <x:c r="B15" s="91" t="str">
        <x:v>How the Package Supports It</x:v>
      </x:c>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c r="Z15" s="117"/>
    </x:row>
    <x:row r="16">
      <x:c r="A16" s="124" t="str">
        <x:v>Schedule visibility</x:v>
      </x:c>
      <x:c r="B16" s="124" t="str">
        <x:v>Shows planned, actual, and forecast dates, predecessor relationships, milestone status, and schedule variance.</x:v>
      </x:c>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c r="Z16" s="117"/>
    </x:row>
    <x:row r="17">
      <x:c r="A17" s="124" t="str">
        <x:v>Ownership and follow-through</x:v>
      </x:c>
      <x:c r="B17" s="124" t="str">
        <x:v>Assigns a named role to each action, risk, issue, and decision with due dates and closure criteria.</x:v>
      </x:c>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c r="Z17" s="117"/>
    </x:row>
    <x:row r="18">
      <x:c r="A18" s="124" t="str">
        <x:v>Dependency management</x:v>
      </x:c>
      <x:c r="B18" s="124" t="str">
        <x:v>Highlights material, access, engineering, inspection, and test prerequisites that can block downstream work.</x:v>
      </x:c>
      <x:c r="C18" s="117"/>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c r="Z18" s="117"/>
    </x:row>
    <x:row r="19">
      <x:c r="A19" s="124" t="str">
        <x:v>Decision support</x:v>
      </x:c>
      <x:c r="B19" s="124" t="str">
        <x:v>Separates decisions from routine actions and records the date needed to avoid schedule impact.</x:v>
      </x:c>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c r="Z19" s="117"/>
    </x:row>
    <x:row r="20">
      <x:c r="A20" s="124" t="str">
        <x:v>Executive communication</x:v>
      </x:c>
      <x:c r="B20" s="124" t="str">
        <x:v>Rolls detailed controls into a concise weekly status report focused on exceptions and required management attention.</x:v>
      </x:c>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c r="Z20" s="117"/>
    </x:row>
    <x:row r="21">
      <x:c r="A21" s="117"/>
      <x:c r="B21" s="117"/>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c r="Z21" s="117"/>
    </x:row>
    <x:row r="22">
      <x:c r="A22" s="91" t="str">
        <x:v>BEFORE USING A SIMILAR PACKAGE ON REAL WORK</x:v>
      </x:c>
      <x:c r="B22" s="91" t="str"/>
      <x:c r="C22" s="91" t="str"/>
      <x:c r="D22" s="91" t="str"/>
      <x:c r="E22" s="91" t="str"/>
      <x:c r="F22" s="91" t="str"/>
      <x:c r="G22" s="117"/>
      <x:c r="H22" s="117"/>
      <x:c r="I22" s="117"/>
      <x:c r="J22" s="117"/>
      <x:c r="K22" s="117"/>
      <x:c r="L22" s="117"/>
      <x:c r="M22" s="117"/>
      <x:c r="N22" s="117"/>
      <x:c r="O22" s="117"/>
      <x:c r="P22" s="117"/>
      <x:c r="Q22" s="117"/>
      <x:c r="R22" s="117"/>
      <x:c r="S22" s="117"/>
      <x:c r="T22" s="117"/>
      <x:c r="U22" s="117"/>
      <x:c r="V22" s="117"/>
      <x:c r="W22" s="117"/>
      <x:c r="X22" s="117"/>
      <x:c r="Y22" s="117"/>
      <x:c r="Z22" s="117"/>
    </x:row>
    <x:row r="23">
      <x:c r="A23" s="124" t="str">
        <x:v>1</x:v>
      </x:c>
      <x:c r="B23" s="124" t="str">
        <x:v>Use approved customer templates, data requirements, repositories, security markings, and systems of record.</x:v>
      </x:c>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c r="Z23" s="117"/>
    </x:row>
    <x:row r="24">
      <x:c r="A24" s="124" t="str">
        <x:v>2</x:v>
      </x:c>
      <x:c r="B24" s="124" t="str">
        <x:v>Confirm information classification and handling requirements before collecting or distributing program data.</x:v>
      </x:c>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c r="Z24" s="117"/>
    </x:row>
    <x:row r="25">
      <x:c r="A25" s="124" t="str">
        <x:v>3</x:v>
      </x:c>
      <x:c r="B25" s="124" t="str">
        <x:v>Do not place CUI, classified, export-controlled, procurement-sensitive, proprietary, source-selection, personal, or operational-security information into an unapproved tool or sample document.</x:v>
      </x:c>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c r="Z25" s="117"/>
    </x:row>
    <x:row r="26">
      <x:c r="A26" s="124" t="str">
        <x:v>4</x:v>
      </x:c>
      <x:c r="B26" s="124" t="str">
        <x:v>Obtain authorization before treating a schedule as contractual, changing approved dates, directing personnel, or distributing status.</x:v>
      </x:c>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c r="Z26" s="117"/>
    </x:row>
    <x:row r="27">
      <x:c r="A27" s="124" t="str">
        <x:v>5</x:v>
      </x:c>
      <x:c r="B27" s="124" t="str">
        <x:v>Keep engineering, quality, safety, contracting, and government-acceptance decisions with the formally designated authorities.</x:v>
      </x:c>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124" t="str">
        <x:v>6</x:v>
      </x:c>
      <x:c r="B28" s="124" t="str">
        <x:v>Replace fictional content and disclaimer language only after the governing contract and customer procedures are understood.</x:v>
      </x:c>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sheetData>
  <x:mergeCells>
    <x:mergeCell ref="A1:F1"/>
    <x:mergeCell ref="A4:F4"/>
    <x:mergeCell ref="A5:F6"/>
    <x:mergeCell ref="A22:F22"/>
  </x:mergeCells>
  <x:pageMargins left="0.7" right="0.7" top="0.75" bottom="0.75" header="0.3" footer="0.3"/>
</x:worksheet>
</file>

<file path=xl/worksheets/sheet9.xml><?xml version="1.0" encoding="utf-8"?>
<x:worksheet xmlns:x="http://schemas.openxmlformats.org/spreadsheetml/2006/main">
  <x:sheetFormatPr defaultRowHeight="15"/>
  <x:cols>
    <x:col min="1" max="1" width="38" hidden="0" customWidth="1"/>
    <x:col min="2" max="2" width="46" hidden="0" customWidth="1"/>
    <x:col min="3" max="3" width="90" hidden="0" customWidth="1"/>
  </x:cols>
  <x:sheetData>
    <x:row r="1" ht="32" customHeight="1">
      <x:c r="A1" s="116" t="str">
        <x:v>6. SOURCE NOTES AND RESPONSIBLE-USE GUIDANCE</x:v>
      </x:c>
      <x:c r="B1" s="116"/>
      <x:c r="C1" s="116"/>
      <x:c r="D1" s="117"/>
      <x:c r="E1" s="117"/>
      <x:c r="F1" s="117"/>
      <x:c r="G1" s="117"/>
      <x:c r="H1" s="117"/>
      <x:c r="I1" s="117"/>
      <x:c r="J1" s="117"/>
      <x:c r="K1" s="117"/>
      <x:c r="L1" s="117"/>
      <x:c r="M1" s="117"/>
      <x:c r="N1" s="117"/>
      <x:c r="O1" s="117"/>
      <x:c r="P1" s="117"/>
      <x:c r="Q1" s="117"/>
      <x:c r="R1" s="117"/>
      <x:c r="S1" s="117"/>
      <x:c r="T1" s="117"/>
      <x:c r="U1" s="117"/>
      <x:c r="V1" s="117"/>
      <x:c r="W1" s="117"/>
      <x:c r="X1" s="117"/>
      <x:c r="Y1" s="117"/>
      <x:c r="Z1" s="117"/>
    </x:row>
    <x:row r="2">
      <x:c r="A2" s="117"/>
      <x:c r="B2" s="117"/>
      <x:c r="C2" s="117"/>
      <x:c r="D2" s="117"/>
      <x:c r="E2" s="117"/>
      <x:c r="F2" s="117"/>
      <x:c r="G2" s="117"/>
      <x:c r="H2" s="117"/>
      <x:c r="I2" s="117"/>
      <x:c r="J2" s="117"/>
      <x:c r="K2" s="117"/>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x:c r="A4" s="91" t="str">
        <x:v>Reference</x:v>
      </x:c>
      <x:c r="B4" s="91" t="str">
        <x:v>Purpose</x:v>
      </x:c>
      <x:c r="C4" s="91" t="str">
        <x:v>URL</x:v>
      </x:c>
      <x:c r="D4" s="117"/>
      <x:c r="E4" s="117"/>
      <x:c r="F4" s="117"/>
      <x:c r="G4" s="117"/>
      <x:c r="H4" s="117"/>
      <x:c r="I4" s="117"/>
      <x:c r="J4" s="117"/>
      <x:c r="K4" s="117"/>
      <x:c r="L4" s="117"/>
      <x:c r="M4" s="117"/>
      <x:c r="N4" s="117"/>
      <x:c r="O4" s="117"/>
      <x:c r="P4" s="117"/>
      <x:c r="Q4" s="117"/>
      <x:c r="R4" s="117"/>
      <x:c r="S4" s="117"/>
      <x:c r="T4" s="117"/>
      <x:c r="U4" s="117"/>
      <x:c r="V4" s="117"/>
      <x:c r="W4" s="117"/>
      <x:c r="X4" s="117"/>
      <x:c r="Y4" s="117"/>
      <x:c r="Z4" s="117"/>
    </x:row>
    <x:row r="5">
      <x:c r="A5" s="124" t="str">
        <x:v>NAVSEA Appendix H - TS 9090-310G</x:v>
      </x:c>
      <x:c r="B5" s="124" t="str">
        <x:v>AIT guidance / POA&amp;M and progress-update inspiration</x:v>
      </x:c>
      <x:c r="C5" s="124" t="str">
        <x:v>https://www.navsea.navy.mil/portals/103/documents/nswc_dahlgren/fiberoptics/appendix_h_ts9090-310g_approved_2015-2-12.pdf</x:v>
      </x:c>
      <x:c r="D5" s="117"/>
      <x:c r="E5" s="117"/>
      <x:c r="F5" s="117"/>
      <x:c r="G5" s="117"/>
      <x:c r="H5" s="117"/>
      <x:c r="I5" s="117"/>
      <x:c r="J5" s="117"/>
      <x:c r="K5" s="117"/>
      <x:c r="L5" s="117"/>
      <x:c r="M5" s="117"/>
      <x:c r="N5" s="117"/>
      <x:c r="O5" s="117"/>
      <x:c r="P5" s="117"/>
      <x:c r="Q5" s="117"/>
      <x:c r="R5" s="117"/>
      <x:c r="S5" s="117"/>
      <x:c r="T5" s="117"/>
      <x:c r="U5" s="117"/>
      <x:c r="V5" s="117"/>
      <x:c r="W5" s="117"/>
      <x:c r="X5" s="117"/>
      <x:c r="Y5" s="117"/>
      <x:c r="Z5" s="117"/>
    </x:row>
    <x:row r="6">
      <x:c r="A6" s="124" t="str">
        <x:v>NAVSEA SUPSHIP Operations Manual - Chapter 7</x:v>
      </x:c>
      <x:c r="B6" s="124" t="str">
        <x:v>IMP/IMS and EVM planning / status concepts</x:v>
      </x:c>
      <x:c r="C6" s="124" t="str">
        <x:v>https://www.navsea.navy.mil/Portals/103/Documents/SUPSHIP/SOM/Ch7-EarnedValueManagement.pdf</x:v>
      </x:c>
      <x:c r="D6" s="117"/>
      <x:c r="E6" s="117"/>
      <x:c r="F6" s="117"/>
      <x:c r="G6" s="117"/>
      <x:c r="H6" s="117"/>
      <x:c r="I6" s="117"/>
      <x:c r="J6" s="117"/>
      <x:c r="K6" s="117"/>
      <x:c r="L6" s="117"/>
      <x:c r="M6" s="117"/>
      <x:c r="N6" s="117"/>
      <x:c r="O6" s="117"/>
      <x:c r="P6" s="117"/>
      <x:c r="Q6" s="117"/>
      <x:c r="R6" s="117"/>
      <x:c r="S6" s="117"/>
      <x:c r="T6" s="117"/>
      <x:c r="U6" s="117"/>
      <x:c r="V6" s="117"/>
      <x:c r="W6" s="117"/>
      <x:c r="X6" s="117"/>
      <x:c r="Y6" s="117"/>
      <x:c r="Z6" s="117"/>
    </x:row>
    <x:row r="7">
      <x:c r="A7" s="124" t="str">
        <x:v>NAVSEA Standard Item 009-60</x:v>
      </x:c>
      <x:c r="B7" s="124" t="str">
        <x:v>Production scheduling concepts, key events, milestones, tests, dates, Gantt schedules</x:v>
      </x:c>
      <x:c r="C7" s="124" t="str">
        <x:v>https://www.navsea.navy.mil/Portals/103/Documents/SSRAC/NSI/FY25/009-60%20FY25_001_PKG.pdf</x:v>
      </x:c>
      <x:c r="D7" s="117"/>
      <x:c r="E7" s="117"/>
      <x:c r="F7" s="117"/>
      <x:c r="G7" s="117"/>
      <x:c r="H7" s="117"/>
      <x:c r="I7" s="117"/>
      <x:c r="J7" s="117"/>
      <x:c r="K7" s="117"/>
      <x:c r="L7" s="117"/>
      <x:c r="M7" s="117"/>
      <x:c r="N7" s="117"/>
      <x:c r="O7" s="117"/>
      <x:c r="P7" s="117"/>
      <x:c r="Q7" s="117"/>
      <x:c r="R7" s="117"/>
      <x:c r="S7" s="117"/>
      <x:c r="T7" s="117"/>
      <x:c r="U7" s="117"/>
      <x:c r="V7" s="117"/>
      <x:c r="W7" s="117"/>
      <x:c r="X7" s="117"/>
      <x:c r="Y7" s="117"/>
      <x:c r="Z7" s="117"/>
    </x:row>
    <x:row r="8">
      <x:c r="A8" s="124" t="str">
        <x:v>NAVSEA Joint Fleet Maintenance Manual public materials</x:v>
      </x:c>
      <x:c r="B8" s="124" t="str">
        <x:v>Public maintenance-process reference</x:v>
      </x:c>
      <x:c r="C8" s="124" t="str">
        <x:v>https://www.navsea.navy.mil/Home/Warfare-Centers/NSWC-Carderock/Who-We-Are/Commands-and-Departments/Submarine-Maintenance-Engineering-Planning-and-Procurement-SUBMEPP/Joint-Fleet-Maintenance-Manual/</x:v>
      </x:c>
      <x:c r="D8" s="117"/>
      <x:c r="E8" s="117"/>
      <x:c r="F8" s="117"/>
      <x:c r="G8" s="117"/>
      <x:c r="H8" s="117"/>
      <x:c r="I8" s="117"/>
      <x:c r="J8" s="117"/>
      <x:c r="K8" s="117"/>
      <x:c r="L8" s="117"/>
      <x:c r="M8" s="117"/>
      <x:c r="N8" s="117"/>
      <x:c r="O8" s="117"/>
      <x:c r="P8" s="117"/>
      <x:c r="Q8" s="117"/>
      <x:c r="R8" s="117"/>
      <x:c r="S8" s="117"/>
      <x:c r="T8" s="117"/>
      <x:c r="U8" s="117"/>
      <x:c r="V8" s="117"/>
      <x:c r="W8" s="117"/>
      <x:c r="X8" s="117"/>
      <x:c r="Y8" s="117"/>
      <x:c r="Z8" s="117"/>
    </x:row>
    <x:row r="9">
      <x:c r="A9" s="117"/>
      <x:c r="B9" s="117"/>
      <x:c r="C9" s="117"/>
      <x:c r="D9" s="117"/>
      <x:c r="E9" s="117"/>
      <x:c r="F9" s="117"/>
      <x:c r="G9" s="117"/>
      <x:c r="H9" s="117"/>
      <x:c r="I9" s="117"/>
      <x:c r="J9" s="117"/>
      <x:c r="K9" s="117"/>
      <x:c r="L9" s="117"/>
      <x:c r="M9" s="117"/>
      <x:c r="N9" s="117"/>
      <x:c r="O9" s="117"/>
      <x:c r="P9" s="117"/>
      <x:c r="Q9" s="117"/>
      <x:c r="R9" s="117"/>
      <x:c r="S9" s="117"/>
      <x:c r="T9" s="117"/>
      <x:c r="U9" s="117"/>
      <x:c r="V9" s="117"/>
      <x:c r="W9" s="117"/>
      <x:c r="X9" s="117"/>
      <x:c r="Y9" s="117"/>
      <x:c r="Z9" s="117"/>
    </x:row>
    <x:row r="10">
      <x:c r="A10" s="168" t="str">
        <x:v>FLOWSHUA POSITIONING: This work sample supports Flowshua Projects LLC’s positioning as a provider of program coordination and project-controls support. The intended contribution is disciplined visibility, follow-through, documentation, and decision support. It is not a claim of engineering, acquisition, contracting-officer, or government-acceptance authority.</x:v>
      </x:c>
      <x:c r="B10" s="168"/>
      <x:c r="C10" s="168"/>
      <x:c r="D10" s="117"/>
      <x:c r="E10" s="117"/>
      <x:c r="F10" s="117"/>
      <x:c r="G10" s="117"/>
      <x:c r="H10" s="117"/>
      <x:c r="I10" s="117"/>
      <x:c r="J10" s="117"/>
      <x:c r="K10" s="117"/>
      <x:c r="L10" s="117"/>
      <x:c r="M10" s="117"/>
      <x:c r="N10" s="117"/>
      <x:c r="O10" s="117"/>
      <x:c r="P10" s="117"/>
      <x:c r="Q10" s="117"/>
      <x:c r="R10" s="117"/>
      <x:c r="S10" s="117"/>
      <x:c r="T10" s="117"/>
      <x:c r="U10" s="117"/>
      <x:c r="V10" s="117"/>
      <x:c r="W10" s="117"/>
      <x:c r="X10" s="117"/>
      <x:c r="Y10" s="117"/>
      <x:c r="Z10" s="117"/>
    </x:row>
    <x:row r="11">
      <x:c r="A11" s="168"/>
      <x:c r="B11" s="168"/>
      <x:c r="C11" s="168"/>
      <x:c r="D11" s="117"/>
      <x:c r="E11" s="117"/>
      <x:c r="F11" s="117"/>
      <x:c r="G11" s="117"/>
      <x:c r="H11" s="117"/>
      <x:c r="I11" s="117"/>
      <x:c r="J11" s="117"/>
      <x:c r="K11" s="117"/>
      <x:c r="L11" s="117"/>
      <x:c r="M11" s="117"/>
      <x:c r="N11" s="117"/>
      <x:c r="O11" s="117"/>
      <x:c r="P11" s="117"/>
      <x:c r="Q11" s="117"/>
      <x:c r="R11" s="117"/>
      <x:c r="S11" s="117"/>
      <x:c r="T11" s="117"/>
      <x:c r="U11" s="117"/>
      <x:c r="V11" s="117"/>
      <x:c r="W11" s="117"/>
      <x:c r="X11" s="117"/>
      <x:c r="Y11" s="117"/>
      <x:c r="Z11" s="117"/>
    </x:row>
    <x:row r="12">
      <x:c r="A12" s="117"/>
      <x:c r="B12" s="117"/>
      <x:c r="C12" s="117"/>
      <x:c r="D12" s="117"/>
      <x:c r="E12" s="117"/>
      <x:c r="F12" s="117"/>
      <x:c r="G12" s="117"/>
      <x:c r="H12" s="117"/>
      <x:c r="I12" s="117"/>
      <x:c r="J12" s="117"/>
      <x:c r="K12" s="117"/>
      <x:c r="L12" s="117"/>
      <x:c r="M12" s="117"/>
      <x:c r="N12" s="117"/>
      <x:c r="O12" s="117"/>
      <x:c r="P12" s="117"/>
      <x:c r="Q12" s="117"/>
      <x:c r="R12" s="117"/>
      <x:c r="S12" s="117"/>
      <x:c r="T12" s="117"/>
      <x:c r="U12" s="117"/>
      <x:c r="V12" s="117"/>
      <x:c r="W12" s="117"/>
      <x:c r="X12" s="117"/>
      <x:c r="Y12" s="117"/>
      <x:c r="Z12" s="117"/>
    </x:row>
    <x:row r="13">
      <x:c r="A13" s="117"/>
      <x:c r="B13" s="117"/>
      <x:c r="C13" s="117"/>
      <x:c r="D13" s="117"/>
      <x:c r="E13" s="117"/>
      <x:c r="F13" s="117"/>
      <x:c r="G13" s="117"/>
      <x:c r="H13" s="117"/>
      <x:c r="I13" s="117"/>
      <x:c r="J13" s="117"/>
      <x:c r="K13" s="117"/>
      <x:c r="L13" s="117"/>
      <x:c r="M13" s="117"/>
      <x:c r="N13" s="117"/>
      <x:c r="O13" s="117"/>
      <x:c r="P13" s="117"/>
      <x:c r="Q13" s="117"/>
      <x:c r="R13" s="117"/>
      <x:c r="S13" s="117"/>
      <x:c r="T13" s="117"/>
      <x:c r="U13" s="117"/>
      <x:c r="V13" s="117"/>
      <x:c r="W13" s="117"/>
      <x:c r="X13" s="117"/>
      <x:c r="Y13" s="117"/>
      <x:c r="Z13" s="117"/>
    </x:row>
    <x:row r="14">
      <x:c r="A14" s="117"/>
      <x:c r="B14" s="117"/>
      <x:c r="C14" s="117"/>
      <x:c r="D14" s="117"/>
      <x:c r="E14" s="117"/>
      <x:c r="F14" s="117"/>
      <x:c r="G14" s="117"/>
      <x:c r="H14" s="117"/>
      <x:c r="I14" s="117"/>
      <x:c r="J14" s="117"/>
      <x:c r="K14" s="117"/>
      <x:c r="L14" s="117"/>
      <x:c r="M14" s="117"/>
      <x:c r="N14" s="117"/>
      <x:c r="O14" s="117"/>
      <x:c r="P14" s="117"/>
      <x:c r="Q14" s="117"/>
      <x:c r="R14" s="117"/>
      <x:c r="S14" s="117"/>
      <x:c r="T14" s="117"/>
      <x:c r="U14" s="117"/>
      <x:c r="V14" s="117"/>
      <x:c r="W14" s="117"/>
      <x:c r="X14" s="117"/>
      <x:c r="Y14" s="117"/>
      <x:c r="Z14" s="117"/>
    </x:row>
    <x:row r="15">
      <x:c r="A15" s="117"/>
      <x:c r="B15" s="117"/>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c r="Z15" s="117"/>
    </x:row>
    <x:row r="16">
      <x:c r="A16" s="117"/>
      <x:c r="B16" s="117"/>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c r="Z16" s="117"/>
    </x:row>
    <x:row r="17">
      <x:c r="A17" s="117"/>
      <x:c r="B17" s="117"/>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c r="Z17" s="117"/>
    </x:row>
    <x:row r="18">
      <x:c r="A18" s="117"/>
      <x:c r="B18" s="117"/>
      <x:c r="C18" s="117"/>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c r="Z18" s="117"/>
    </x:row>
    <x:row r="19">
      <x:c r="A19" s="117"/>
      <x:c r="B19" s="117"/>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c r="Z19" s="117"/>
    </x:row>
    <x:row r="20">
      <x:c r="A20" s="117"/>
      <x:c r="B20" s="117"/>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c r="Z20" s="117"/>
    </x:row>
    <x:row r="21">
      <x:c r="A21" s="117"/>
      <x:c r="B21" s="117"/>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c r="Z21" s="117"/>
    </x:row>
    <x:row r="22">
      <x:c r="A22" s="117"/>
      <x:c r="B22" s="117"/>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c r="Z22" s="117"/>
    </x:row>
    <x:row r="23">
      <x:c r="A23" s="117"/>
      <x:c r="B23" s="117"/>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c r="Z23" s="117"/>
    </x:row>
    <x:row r="24">
      <x:c r="A24" s="117"/>
      <x:c r="B24" s="117"/>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c r="Z24" s="117"/>
    </x:row>
    <x:row r="25">
      <x:c r="A25" s="117"/>
      <x:c r="B25" s="117"/>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c r="Z25" s="117"/>
    </x:row>
    <x:row r="26">
      <x:c r="A26" s="117"/>
      <x:c r="B26" s="117"/>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c r="Z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sheetData>
  <x:mergeCells>
    <x:mergeCell ref="A1:C1"/>
    <x:mergeCell ref="A10:C11"/>
  </x:mergeCells>
  <x:pageMargins left="0.7" right="0.7" top="0.75" bottom="0.75" header="0.3" footer="0.3"/>
</x:worksheet>
</file>