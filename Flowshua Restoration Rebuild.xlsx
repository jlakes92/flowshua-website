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mc:AlternateContent xmlns:mc="http://schemas.openxmlformats.org/markup-compatibility/2006">
    <mc:Choice Requires="x15">
      <x15ac:absPath xmlns:x15ac="http://schemas.microsoft.com/office/spreadsheetml/2010/11/ac" url="/Users/joshualakes/Desktop/FLOWSHUA/"/>
    </mc:Choice>
  </mc:AlternateContent>
  <xr:revisionPtr revIDLastSave="0" documentId="13_ncr:1_{566C5F0E-1AFE-3746-99B6-973F465CD879}" xr6:coauthVersionLast="47" xr6:coauthVersionMax="47" xr10:uidLastSave="{00000000-0000-0000-0000-000000000000}"/>
  <bookViews>
    <workbookView xWindow="0" yWindow="660" windowWidth="34200" windowHeight="21480" xr2:uid="{00000000-000D-0000-FFFF-FFFF00000000}"/>
  </bookViews>
  <sheets>
    <sheet name="Project Dashboard" sheetId="1" r:id="rId1"/>
    <sheet name="Project Charter" sheetId="2" r:id="rId2"/>
    <sheet name="Work Packages" sheetId="3" r:id="rId3"/>
    <sheet name="Master Schedule" sheetId="4" r:id="rId4"/>
    <sheet name="Budget &amp; Forecast" sheetId="5" r:id="rId5"/>
    <sheet name="Procurement &amp; Dependencies" sheetId="6" r:id="rId6"/>
    <sheet name="Quality Gates" sheetId="7" r:id="rId7"/>
    <sheet name="RAIDD" sheetId="8" r:id="rId8"/>
    <sheet name="Lessons Learned" sheetId="9" r:id="rId9"/>
  </sheets>
  <definedNames>
    <definedName name="_xlnm.Print_Area" localSheetId="4">'Budget &amp; Forecast'!$A$1:$J$41</definedName>
    <definedName name="_xlnm.Print_Area" localSheetId="8">'Lessons Learned'!$A$1:$H$22</definedName>
    <definedName name="_xlnm.Print_Area" localSheetId="3">'Master Schedule'!$A$1:$S$21</definedName>
    <definedName name="_xlnm.Print_Area" localSheetId="5">'Procurement &amp; Dependencies'!$A$1:$L$14</definedName>
    <definedName name="_xlnm.Print_Area" localSheetId="1">'Project Charter'!$A$1:$K$30</definedName>
    <definedName name="_xlnm.Print_Area" localSheetId="0">'Project Dashboard'!$A$1:$L$42</definedName>
    <definedName name="_xlnm.Print_Area" localSheetId="6">'Quality Gates'!$A$1:$J$13</definedName>
    <definedName name="_xlnm.Print_Area" localSheetId="7">RAIDD!$A$1:$I$16</definedName>
    <definedName name="_xlnm.Print_Area" localSheetId="2">'Work Packages'!$A$1:$N$21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8" i="5" l="1"/>
  <c r="C18" i="5"/>
  <c r="B18" i="5"/>
  <c r="E16" i="5"/>
  <c r="E15" i="5"/>
  <c r="E14" i="5"/>
  <c r="E13" i="5"/>
  <c r="E12" i="5"/>
  <c r="E11" i="5"/>
  <c r="E18" i="5" s="1"/>
  <c r="I6" i="5" s="1"/>
  <c r="G6" i="5"/>
  <c r="E6" i="5"/>
  <c r="C6" i="5"/>
  <c r="A6" i="5"/>
  <c r="S20" i="4"/>
  <c r="R20" i="4"/>
  <c r="Q20" i="4"/>
  <c r="P20" i="4"/>
  <c r="O20" i="4"/>
  <c r="N20" i="4"/>
  <c r="M20" i="4"/>
  <c r="L20" i="4"/>
  <c r="K20" i="4"/>
  <c r="J20" i="4"/>
  <c r="I20" i="4"/>
  <c r="H20" i="4"/>
  <c r="S19" i="4"/>
  <c r="R19" i="4"/>
  <c r="Q19" i="4"/>
  <c r="P19" i="4"/>
  <c r="O19" i="4"/>
  <c r="N19" i="4"/>
  <c r="M19" i="4"/>
  <c r="L19" i="4"/>
  <c r="K19" i="4"/>
  <c r="J19" i="4"/>
  <c r="I19" i="4"/>
  <c r="H19" i="4"/>
  <c r="S18" i="4"/>
  <c r="R18" i="4"/>
  <c r="Q18" i="4"/>
  <c r="P18" i="4"/>
  <c r="O18" i="4"/>
  <c r="N18" i="4"/>
  <c r="M18" i="4"/>
  <c r="L18" i="4"/>
  <c r="K18" i="4"/>
  <c r="J18" i="4"/>
  <c r="I18" i="4"/>
  <c r="H18" i="4"/>
  <c r="S17" i="4"/>
  <c r="R17" i="4"/>
  <c r="Q17" i="4"/>
  <c r="P17" i="4"/>
  <c r="O17" i="4"/>
  <c r="N17" i="4"/>
  <c r="M17" i="4"/>
  <c r="L17" i="4"/>
  <c r="K17" i="4"/>
  <c r="J17" i="4"/>
  <c r="I17" i="4"/>
  <c r="H17" i="4"/>
  <c r="S16" i="4"/>
  <c r="R16" i="4"/>
  <c r="Q16" i="4"/>
  <c r="P16" i="4"/>
  <c r="O16" i="4"/>
  <c r="N16" i="4"/>
  <c r="M16" i="4"/>
  <c r="L16" i="4"/>
  <c r="K16" i="4"/>
  <c r="J16" i="4"/>
  <c r="I16" i="4"/>
  <c r="H16" i="4"/>
  <c r="S15" i="4"/>
  <c r="R15" i="4"/>
  <c r="Q15" i="4"/>
  <c r="P15" i="4"/>
  <c r="O15" i="4"/>
  <c r="N15" i="4"/>
  <c r="M15" i="4"/>
  <c r="L15" i="4"/>
  <c r="K15" i="4"/>
  <c r="J15" i="4"/>
  <c r="I15" i="4"/>
  <c r="H15" i="4"/>
  <c r="S14" i="4"/>
  <c r="R14" i="4"/>
  <c r="Q14" i="4"/>
  <c r="P14" i="4"/>
  <c r="O14" i="4"/>
  <c r="N14" i="4"/>
  <c r="M14" i="4"/>
  <c r="L14" i="4"/>
  <c r="K14" i="4"/>
  <c r="J14" i="4"/>
  <c r="I14" i="4"/>
  <c r="H14" i="4"/>
  <c r="S13" i="4"/>
  <c r="R13" i="4"/>
  <c r="Q13" i="4"/>
  <c r="P13" i="4"/>
  <c r="O13" i="4"/>
  <c r="N13" i="4"/>
  <c r="M13" i="4"/>
  <c r="L13" i="4"/>
  <c r="K13" i="4"/>
  <c r="J13" i="4"/>
  <c r="I13" i="4"/>
  <c r="H13" i="4"/>
  <c r="S12" i="4"/>
  <c r="R12" i="4"/>
  <c r="Q12" i="4"/>
  <c r="P12" i="4"/>
  <c r="O12" i="4"/>
  <c r="N12" i="4"/>
  <c r="M12" i="4"/>
  <c r="L12" i="4"/>
  <c r="K12" i="4"/>
  <c r="J12" i="4"/>
  <c r="I12" i="4"/>
  <c r="H12" i="4"/>
  <c r="S11" i="4"/>
  <c r="R11" i="4"/>
  <c r="Q11" i="4"/>
  <c r="P11" i="4"/>
  <c r="O11" i="4"/>
  <c r="N11" i="4"/>
  <c r="M11" i="4"/>
  <c r="L11" i="4"/>
  <c r="K11" i="4"/>
  <c r="J11" i="4"/>
  <c r="I11" i="4"/>
  <c r="H11" i="4"/>
  <c r="S10" i="4"/>
  <c r="R10" i="4"/>
  <c r="Q10" i="4"/>
  <c r="P10" i="4"/>
  <c r="O10" i="4"/>
  <c r="N10" i="4"/>
  <c r="M10" i="4"/>
  <c r="L10" i="4"/>
  <c r="K10" i="4"/>
  <c r="J10" i="4"/>
  <c r="I10" i="4"/>
  <c r="H10" i="4"/>
  <c r="S9" i="4"/>
  <c r="R9" i="4"/>
  <c r="Q9" i="4"/>
  <c r="P9" i="4"/>
  <c r="O9" i="4"/>
  <c r="N9" i="4"/>
  <c r="M9" i="4"/>
  <c r="L9" i="4"/>
  <c r="K9" i="4"/>
  <c r="J9" i="4"/>
  <c r="I9" i="4"/>
  <c r="H9" i="4"/>
  <c r="S8" i="4"/>
  <c r="R8" i="4"/>
  <c r="Q8" i="4"/>
  <c r="P8" i="4"/>
  <c r="O8" i="4"/>
  <c r="N8" i="4"/>
  <c r="M8" i="4"/>
  <c r="L8" i="4"/>
  <c r="K8" i="4"/>
  <c r="J8" i="4"/>
  <c r="I8" i="4"/>
  <c r="H8" i="4"/>
  <c r="S7" i="4"/>
  <c r="R7" i="4"/>
  <c r="Q7" i="4"/>
  <c r="P7" i="4"/>
  <c r="O7" i="4"/>
  <c r="N7" i="4"/>
  <c r="M7" i="4"/>
  <c r="L7" i="4"/>
  <c r="K7" i="4"/>
  <c r="J7" i="4"/>
  <c r="I7" i="4"/>
  <c r="H7" i="4"/>
  <c r="S6" i="4"/>
  <c r="R6" i="4"/>
  <c r="Q6" i="4"/>
  <c r="P6" i="4"/>
  <c r="O6" i="4"/>
  <c r="N6" i="4"/>
  <c r="M6" i="4"/>
  <c r="L6" i="4"/>
  <c r="K6" i="4"/>
  <c r="J6" i="4"/>
  <c r="I6" i="4"/>
  <c r="H6" i="4"/>
  <c r="K20" i="3"/>
  <c r="K19" i="3"/>
  <c r="K18" i="3"/>
  <c r="K17" i="3"/>
  <c r="K16" i="3"/>
  <c r="K15" i="3"/>
  <c r="K14" i="3"/>
  <c r="K13" i="3"/>
  <c r="K12" i="3"/>
  <c r="K11" i="3"/>
  <c r="K10" i="3"/>
  <c r="K9" i="3"/>
  <c r="K8" i="3"/>
  <c r="K7" i="3"/>
  <c r="K6" i="3"/>
  <c r="B37" i="1"/>
  <c r="B38" i="1" s="1"/>
  <c r="B36" i="1"/>
  <c r="B35" i="1"/>
  <c r="B31" i="1"/>
  <c r="B30" i="1"/>
  <c r="B29" i="1"/>
  <c r="B28" i="1"/>
  <c r="K6" i="1"/>
  <c r="I6" i="1"/>
  <c r="G6" i="1"/>
  <c r="E6" i="1"/>
  <c r="C6" i="1"/>
  <c r="A6" i="1"/>
</calcChain>
</file>

<file path=xl/sharedStrings.xml><?xml version="1.0" encoding="utf-8"?>
<sst xmlns="http://schemas.openxmlformats.org/spreadsheetml/2006/main" count="880" uniqueCount="541">
  <si>
    <t>Complete</t>
  </si>
  <si>
    <t>In Progress</t>
  </si>
  <si>
    <t>At Risk</t>
  </si>
  <si>
    <t>Not Started</t>
  </si>
  <si>
    <t>Project Closeout Checklist</t>
  </si>
  <si>
    <t>Owner</t>
  </si>
  <si>
    <t>Target Week</t>
  </si>
  <si>
    <t>Evidence Required</t>
  </si>
  <si>
    <t>Status</t>
  </si>
  <si>
    <t>Why It Matters</t>
  </si>
  <si>
    <t>Follow-up</t>
  </si>
  <si>
    <t>Portfolio Note</t>
  </si>
  <si>
    <t>Water Damage Restoration &amp; Rebuild Project</t>
  </si>
  <si>
    <t>Illustrative Flowshua portfolio case study | Fictional project data only</t>
  </si>
  <si>
    <t>Overall Project Completion</t>
  </si>
  <si>
    <t>Schedule Health</t>
  </si>
  <si>
    <t>Budget Used</t>
  </si>
  <si>
    <t>Open Control Items</t>
  </si>
  <si>
    <t>Final Walkthrough Forecast</t>
  </si>
  <si>
    <t>Quality Gate Readiness</t>
  </si>
  <si>
    <t>Weighted project progress</t>
  </si>
  <si>
    <t>Critical project steps are being watched</t>
  </si>
  <si>
    <t>Actual and committed cost to date</t>
  </si>
  <si>
    <t>Risks, issues, and dependencies</t>
  </si>
  <si>
    <t>Target owner walkthrough window</t>
  </si>
  <si>
    <t>Quality gates completed</t>
  </si>
  <si>
    <t>Project Objective</t>
  </si>
  <si>
    <t>Portfolio Boundary</t>
  </si>
  <si>
    <t>Return a fictional water-damaged home to a safe, livable, and homeowner-approved condition within a 12-week rebuild window while keeping scope, vendors, materials, inspections, and communication organized.</t>
  </si>
  <si>
    <t>This portfolio case study uses fictional home details, trade work, dates, budget values, and homeowner information. It shows project setup and coordination methods. It does not provide construction advice, insurance claim advice, or contractor work.</t>
  </si>
  <si>
    <t>Management Focus</t>
  </si>
  <si>
    <t>Critical Path View</t>
  </si>
  <si>
    <t>Focus</t>
  </si>
  <si>
    <t>Current Signal</t>
  </si>
  <si>
    <t>Next Action</t>
  </si>
  <si>
    <t>Phase</t>
  </si>
  <si>
    <t>Planned Window</t>
  </si>
  <si>
    <t>Forecast Window</t>
  </si>
  <si>
    <t>Primary Dependency</t>
  </si>
  <si>
    <t>Health</t>
  </si>
  <si>
    <t>Control Note</t>
  </si>
  <si>
    <t>Scope and insurance approval</t>
  </si>
  <si>
    <t>Initial damage scope is documented, but one hidden moisture item still needs approval.</t>
  </si>
  <si>
    <t>Project Lead</t>
  </si>
  <si>
    <t>Stops us from starting work that is not covered or fully understood.</t>
  </si>
  <si>
    <t>Send photos and scope add-on to the adjuster.</t>
  </si>
  <si>
    <t>Assessment &amp; scope</t>
  </si>
  <si>
    <t>Weeks 1-2</t>
  </si>
  <si>
    <t>Moisture inspection and adjuster response</t>
  </si>
  <si>
    <t>Keep every scope change in one log.</t>
  </si>
  <si>
    <t>Long-lead materials</t>
  </si>
  <si>
    <t>Cabinet and flooring choices can affect the finish dates.</t>
  </si>
  <si>
    <t>Could push cabinets, trim, flooring, and the final walkthrough.</t>
  </si>
  <si>
    <t>Lock homeowner selections and confirm delivery dates.</t>
  </si>
  <si>
    <t>Materials &amp; vendor planning</t>
  </si>
  <si>
    <t>Weeks 2-4</t>
  </si>
  <si>
    <t>Homeowner selections and vendor lead times</t>
  </si>
  <si>
    <t>Check material dates twice a week.</t>
  </si>
  <si>
    <t>Critical path</t>
  </si>
  <si>
    <t>Plumbing, electrical, drywall, and finish work have to stay in order.</t>
  </si>
  <si>
    <t>Reconstruction Lead</t>
  </si>
  <si>
    <t>One missed handoff can make the next trade wait.</t>
  </si>
  <si>
    <t>Confirm the next trade before current work closes out.</t>
  </si>
  <si>
    <t>Reconstruction</t>
  </si>
  <si>
    <t>Weeks 3-8</t>
  </si>
  <si>
    <t>Trade handoffs and inspection windows</t>
  </si>
  <si>
    <t>Protect the rough-in and drywall sequence.</t>
  </si>
  <si>
    <t>Final quality</t>
  </si>
  <si>
    <t>Final walkthrough criteria are being built before the job reaches the end.</t>
  </si>
  <si>
    <t>Avoids a long punch list after the homeowner thinks the job is done.</t>
  </si>
  <si>
    <t>Use a room-by-room checklist before the owner walkthrough.</t>
  </si>
  <si>
    <t>Finishes &amp; inspection</t>
  </si>
  <si>
    <t>Weeks 8-11</t>
  </si>
  <si>
    <t>Material arrivals and trade completion</t>
  </si>
  <si>
    <t>Watch</t>
  </si>
  <si>
    <t>Keep homeowner expectations visible.</t>
  </si>
  <si>
    <t>Closeout preparation</t>
  </si>
  <si>
    <t>Warranty and closeout paperwork starts before the final walk.</t>
  </si>
  <si>
    <t>Keeps loose ends from dragging after the home is ready.</t>
  </si>
  <si>
    <t>Draft the warranty packet and final project summary.</t>
  </si>
  <si>
    <t>Final walk &amp; closeout</t>
  </si>
  <si>
    <t>Weeks 11-12</t>
  </si>
  <si>
    <t>Punch list and homeowner availability</t>
  </si>
  <si>
    <t>Closeout package needs to be ready before final walk.</t>
  </si>
  <si>
    <t>Work Package Status Mix</t>
  </si>
  <si>
    <t>Workbook Map</t>
  </si>
  <si>
    <t>Count</t>
  </si>
  <si>
    <t>Sheet</t>
  </si>
  <si>
    <t>Purpose</t>
  </si>
  <si>
    <t>Project Charter</t>
  </si>
  <si>
    <t>Project purpose, scope, homeowner and vendor roles, and portfolio boundaries.</t>
  </si>
  <si>
    <t>Work Packages</t>
  </si>
  <si>
    <t>Detailed rebuild work packages with ownership, progress, dependencies, and schedule impact.</t>
  </si>
  <si>
    <t>Master Schedule</t>
  </si>
  <si>
    <t>12-week home rebuild plan with a visual Gantt-style timeline.</t>
  </si>
  <si>
    <t>Budget &amp; Forecast</t>
  </si>
  <si>
    <t>Baseline, actual and committed cost, forecast, variance, and project cost view.</t>
  </si>
  <si>
    <t>Procurement &amp; Dependencies</t>
  </si>
  <si>
    <t>Materials, vendor dates, inspections, and dependencies tied to the rebuild.</t>
  </si>
  <si>
    <t>Budget Snapshot</t>
  </si>
  <si>
    <t>Quality Gates</t>
  </si>
  <si>
    <t>Approval, inspection, walkthrough, and closeout checkpoints.</t>
  </si>
  <si>
    <t>Metric</t>
  </si>
  <si>
    <t>Value</t>
  </si>
  <si>
    <t>RAIDD</t>
  </si>
  <si>
    <t>Risks, assumptions, issues, decisions, and dependencies that need a clear owner.</t>
  </si>
  <si>
    <t>Baseline Budget</t>
  </si>
  <si>
    <t>Lessons Learned</t>
  </si>
  <si>
    <t>Reusable project coordination lessons and closeout checklist.</t>
  </si>
  <si>
    <t>Actual / Committed</t>
  </si>
  <si>
    <t>Project Dashboard</t>
  </si>
  <si>
    <t>Executive view for weekly owner, vendor, and project updates.</t>
  </si>
  <si>
    <t>Forecast at Completion</t>
  </si>
  <si>
    <t>Forecast Remaining</t>
  </si>
  <si>
    <t>Flowshua Projects | Clearer projects. Stronger follow-through.</t>
  </si>
  <si>
    <t>Water Damage Restoration &amp; Rebuild Project | Fictional portfolio case study</t>
  </si>
  <si>
    <t>Project Summary</t>
  </si>
  <si>
    <t>Project Name</t>
  </si>
  <si>
    <t>Objective</t>
  </si>
  <si>
    <t>Return a fictional home to a safe, livable, and homeowner-approved condition after a pipe burst causes water damage while the owners are out of town. Keep the scope, vendors, schedule, decisions, and final walk organized.</t>
  </si>
  <si>
    <t>Project Type</t>
  </si>
  <si>
    <t>Illustrative home restoration and rebuild case study</t>
  </si>
  <si>
    <t>Business Need</t>
  </si>
  <si>
    <t>Get a damaged home rebuilt without losing track of insurance approvals, trade handoffs, materials, homeowner decisions, or closeout items.</t>
  </si>
  <si>
    <t>Project Sponsor</t>
  </si>
  <si>
    <t>Homeowner / Property Owner (fictional role)</t>
  </si>
  <si>
    <t>Primary Constraint</t>
  </si>
  <si>
    <t>Insurance approval, hidden damage, material lead times, and trade availability drive the critical path.</t>
  </si>
  <si>
    <t>Project Coordinator</t>
  </si>
  <si>
    <t>Project Coordinator (portfolio scenario)</t>
  </si>
  <si>
    <t>Operating Assumption</t>
  </si>
  <si>
    <t>Emergency mitigation is complete, but the home stays out of normal use until work, inspections, and final walkthrough are complete.</t>
  </si>
  <si>
    <t>Planned Duration</t>
  </si>
  <si>
    <t>12 weeks</t>
  </si>
  <si>
    <t>Success Measure</t>
  </si>
  <si>
    <t>Home is safe, complete, and ready for owner walkthrough by Week 12 without losing control of cost, quality, or homeowner communication.</t>
  </si>
  <si>
    <t>$175,000</t>
  </si>
  <si>
    <t>All data is fictional. This case study does not reproduce a real home, insurance claim, customer information, contractor proposal, or repair estimate.</t>
  </si>
  <si>
    <t>Target Outcome</t>
  </si>
  <si>
    <t>Homeowner-approved rebuild and project closeout</t>
  </si>
  <si>
    <t>Project Approach</t>
  </si>
  <si>
    <t>Clear project setup, visible ownership, early risk escalation, trade coordination, and disciplined closeout.</t>
  </si>
  <si>
    <t>In Scope</t>
  </si>
  <si>
    <t>Out of Scope</t>
  </si>
  <si>
    <t>Included work</t>
  </si>
  <si>
    <t>Initial damage review and rebuild plan</t>
  </si>
  <si>
    <t>Excluded item</t>
  </si>
  <si>
    <t>Licensed construction work or contractor management</t>
  </si>
  <si>
    <t>Fictional material planning, vendor tracking, and trade sequencing</t>
  </si>
  <si>
    <t>Insurance claim negotiation or coverage decisions</t>
  </si>
  <si>
    <t>Homeowner update process, quality gates, and final walkthrough checklist</t>
  </si>
  <si>
    <t>Real customer, home, vendor, or restoration company information</t>
  </si>
  <si>
    <t>Project budget, schedule, risk controls, and lessons learned</t>
  </si>
  <si>
    <t>Construction drawings, building code advice, or repair instructions</t>
  </si>
  <si>
    <t>Weekly project updates and owner visibility</t>
  </si>
  <si>
    <t>Any claim that this workbook represents a real client project</t>
  </si>
  <si>
    <t>Stakeholder &amp; Governance Map</t>
  </si>
  <si>
    <t>Stakeholder / Role</t>
  </si>
  <si>
    <t>Project Interest</t>
  </si>
  <si>
    <t>Decision Rights</t>
  </si>
  <si>
    <t>Cadence</t>
  </si>
  <si>
    <t>Key Input</t>
  </si>
  <si>
    <t>Homeowner / Property Owner</t>
  </si>
  <si>
    <t>Safe return to a usable home</t>
  </si>
  <si>
    <t>Approves major choices and final walkthrough</t>
  </si>
  <si>
    <t>Weekly project update</t>
  </si>
  <si>
    <t>Scope decisions and finish selections</t>
  </si>
  <si>
    <t>Integrated project control</t>
  </si>
  <si>
    <t>Coordinates changes and escalations</t>
  </si>
  <si>
    <t>Daily control review</t>
  </si>
  <si>
    <t>Scope, schedule, cost, and risk visibility</t>
  </si>
  <si>
    <t>Keeps the plan, updates, risks, and next steps clear</t>
  </si>
  <si>
    <t>Coordinates updates and escalations</t>
  </si>
  <si>
    <t>Restoration Lead</t>
  </si>
  <si>
    <t>Field work and vendor coordination</t>
  </si>
  <si>
    <t>Forecasts work package completion</t>
  </si>
  <si>
    <t>Daily rebuild update</t>
  </si>
  <si>
    <t>Trade sequence, vendor status, and site access</t>
  </si>
  <si>
    <t>Field work and trade sequence</t>
  </si>
  <si>
    <t>Confirms field readiness and trade handoffs</t>
  </si>
  <si>
    <t>Daily job check</t>
  </si>
  <si>
    <t>Field progress, access, and work completion</t>
  </si>
  <si>
    <t>Materials / Supplier Lead</t>
  </si>
  <si>
    <t>Cabinets, flooring, trim, and key materials</t>
  </si>
  <si>
    <t>Confirms delivery dates and substitutions</t>
  </si>
  <si>
    <t>Twice-weekly vendor review</t>
  </si>
  <si>
    <t>Lead times, alternates, and delivery confidence</t>
  </si>
  <si>
    <t>Quality / Inspection Lead</t>
  </si>
  <si>
    <t>Safe, complete, and documented finish</t>
  </si>
  <si>
    <t>Signs off quality gates</t>
  </si>
  <si>
    <t>Gate-driven</t>
  </si>
  <si>
    <t>Inspection timing and final punch list</t>
  </si>
  <si>
    <t>Homeowner Liaison</t>
  </si>
  <si>
    <t>Clear homeowner communication</t>
  </si>
  <si>
    <t>Coordinates decision requests and updates</t>
  </si>
  <si>
    <t>Weekly or as needed</t>
  </si>
  <si>
    <t>Finish choices, concerns, and access needs</t>
  </si>
  <si>
    <t>Vendor / Trade Lead</t>
  </si>
  <si>
    <t>Trade availability and delivery dates</t>
  </si>
  <si>
    <t>Provides work windows and completion updates</t>
  </si>
  <si>
    <t>As needed</t>
  </si>
  <si>
    <t>Labor, material, and access constraints</t>
  </si>
  <si>
    <t>Boundary Statement</t>
  </si>
  <si>
    <t>Fictional portfolio prototype</t>
  </si>
  <si>
    <t>No external authority</t>
  </si>
  <si>
    <t>Always visible</t>
  </si>
  <si>
    <t>Uses non-sensitive, illustrative data only</t>
  </si>
  <si>
    <t>Work Package Register</t>
  </si>
  <si>
    <t>Detailed scope, ownership, progress, dependency, and schedule-control view | Fictional project data only</t>
  </si>
  <si>
    <t>Work Package ID</t>
  </si>
  <si>
    <t>Work Package</t>
  </si>
  <si>
    <t>Duration Days</t>
  </si>
  <si>
    <t>Start Week</t>
  </si>
  <si>
    <t>Finish Week</t>
  </si>
  <si>
    <t>Weight</t>
  </si>
  <si>
    <t>Percent Complete</t>
  </si>
  <si>
    <t>Earned Progress</t>
  </si>
  <si>
    <t>Schedule Impact</t>
  </si>
  <si>
    <t>WP-001</t>
  </si>
  <si>
    <t>Initiation</t>
  </si>
  <si>
    <t>Complete mitigation handoff and organize damage records</t>
  </si>
  <si>
    <t>Project kickoff</t>
  </si>
  <si>
    <t>Low</t>
  </si>
  <si>
    <t>Drying records, photos, and initial scope are in the project file.</t>
  </si>
  <si>
    <t>WP-002</t>
  </si>
  <si>
    <t>Confirm the approved rebuild scope and insurance decisions</t>
  </si>
  <si>
    <t>Medium</t>
  </si>
  <si>
    <t>One concealed moisture item is still waiting on approval.</t>
  </si>
  <si>
    <t>WP-003</t>
  </si>
  <si>
    <t>Planning</t>
  </si>
  <si>
    <t>Build the rebuild plan, vendor tracker, and homeowner update plan</t>
  </si>
  <si>
    <t>One tracker and update format are ready for the project.</t>
  </si>
  <si>
    <t>WP-004</t>
  </si>
  <si>
    <t>Lock in cabinet, flooring, trim, and material lead times</t>
  </si>
  <si>
    <t>Materials Lead</t>
  </si>
  <si>
    <t>High</t>
  </si>
  <si>
    <t>Cabinet and flooring delivery dates drive the finish schedule.</t>
  </si>
  <si>
    <t>WP-005</t>
  </si>
  <si>
    <t>Confirm trade sequence, site access plan, and work windows</t>
  </si>
  <si>
    <t>Trade handoffs and access needs are documented.</t>
  </si>
  <si>
    <t>WP-006</t>
  </si>
  <si>
    <t>Execution</t>
  </si>
  <si>
    <t>Finish demo, dry-out verification, plumbing, and structural repairs</t>
  </si>
  <si>
    <t>Protect the repair window and keep hidden damage visible.</t>
  </si>
  <si>
    <t>WP-007</t>
  </si>
  <si>
    <t>Complete electrical, plumbing, and inspection signoffs before walls close</t>
  </si>
  <si>
    <t>Trade Leads</t>
  </si>
  <si>
    <t>Inspection availability and rough-in completion drive drywall start.</t>
  </si>
  <si>
    <t>WP-008</t>
  </si>
  <si>
    <t>Complete drywall, texture, paint, and ceiling repairs</t>
  </si>
  <si>
    <t>Finish Lead</t>
  </si>
  <si>
    <t>Do not start until rough-in work and inspection needs are clear.</t>
  </si>
  <si>
    <t>WP-009</t>
  </si>
  <si>
    <t>Integration</t>
  </si>
  <si>
    <t>Install cabinets, trim, and finish carpentry</t>
  </si>
  <si>
    <t>Start only when cabinets arrive and paint work is complete.</t>
  </si>
  <si>
    <t>WP-010</t>
  </si>
  <si>
    <t>Install flooring, fixtures, and appliances</t>
  </si>
  <si>
    <t>Flooring availability and cabinet completion drive this step.</t>
  </si>
  <si>
    <t>WP-011</t>
  </si>
  <si>
    <t>Quality</t>
  </si>
  <si>
    <t>Complete room-by-room quality walkthrough and create punch list</t>
  </si>
  <si>
    <t>Use photos, room list, and homeowner priorities before final walk.</t>
  </si>
  <si>
    <t>WP-012</t>
  </si>
  <si>
    <t>Close punch list, complete final cleaning, and build warranty packet</t>
  </si>
  <si>
    <t>Do not let final cleaning happen before all trade work is done.</t>
  </si>
  <si>
    <t>WP-013</t>
  </si>
  <si>
    <t>Readiness</t>
  </si>
  <si>
    <t>Complete homeowner final walkthrough and closeout approval</t>
  </si>
  <si>
    <t>Homeowner / Project Lead</t>
  </si>
  <si>
    <t>Final approval happens only after punch-list closure.</t>
  </si>
  <si>
    <t>WP-014</t>
  </si>
  <si>
    <t>Keep insurance changes, approvals, and homeowner decisions documented</t>
  </si>
  <si>
    <t>Every scope change needs an owner, date, and written next step.</t>
  </si>
  <si>
    <t>WP-015</t>
  </si>
  <si>
    <t>Closeout</t>
  </si>
  <si>
    <t>Capture lessons learned and archive the project file</t>
  </si>
  <si>
    <t>Archive the final tracker, updates, warranties, and closeout notes.</t>
  </si>
  <si>
    <t>Master Schedule &amp; Rebuild Plan</t>
  </si>
  <si>
    <t>12-week rebuild plan with critical-path visibility | Fictional project data only</t>
  </si>
  <si>
    <t>Milestone / Deliverable</t>
  </si>
  <si>
    <t>Mitigation handoff and damage record complete</t>
  </si>
  <si>
    <t>Project charter and rebuild goal approved</t>
  </si>
  <si>
    <t>Rebuild plan, vendor tracker, and homeowner update plan ready</t>
  </si>
  <si>
    <t>Material selections and delivery dates confirmed</t>
  </si>
  <si>
    <t>Trade sequence and site access plan confirmed</t>
  </si>
  <si>
    <t>Demo, dry-out verification, plumbing, and structural repairs</t>
  </si>
  <si>
    <t>Electrical, plumbing, and inspection signoffs complete</t>
  </si>
  <si>
    <t>Drywall, texture, paint, and ceiling repairs</t>
  </si>
  <si>
    <t>Cabinets, trim, and finish carpentry complete</t>
  </si>
  <si>
    <t>Flooring, fixtures, and appliances complete</t>
  </si>
  <si>
    <t>Room-by-room quality walkthrough and punch list</t>
  </si>
  <si>
    <t>Punch list closed and final cleaning complete</t>
  </si>
  <si>
    <t>Homeowner final walkthrough and approval</t>
  </si>
  <si>
    <t>Final project file, warranties, and closeout packet ready</t>
  </si>
  <si>
    <t>Lessons learned and project archive complete</t>
  </si>
  <si>
    <t>Illustrative rebuild budget with baseline, actual and committed, and forecast values</t>
  </si>
  <si>
    <t>Forecast Variance</t>
  </si>
  <si>
    <t>Budget Status</t>
  </si>
  <si>
    <t>Approved fictional rebuild budget</t>
  </si>
  <si>
    <t>Costs recognized and committed to date</t>
  </si>
  <si>
    <t>Current projected rebuild spend</t>
  </si>
  <si>
    <t>Remaining budget protection</t>
  </si>
  <si>
    <t>Forecast compared to baseline</t>
  </si>
  <si>
    <t>Category</t>
  </si>
  <si>
    <t>Emergency mitigation and water cleanup</t>
  </si>
  <si>
    <t>Demo, drying verification, and structural repairs</t>
  </si>
  <si>
    <t>Plumbing, electrical, and inspection work</t>
  </si>
  <si>
    <t>Drywall, paint, and ceiling repairs</t>
  </si>
  <si>
    <t>Flooring, cabinets, trim, and finish work</t>
  </si>
  <si>
    <t>Contingency reserve</t>
  </si>
  <si>
    <t>On Track</t>
  </si>
  <si>
    <t>Total</t>
  </si>
  <si>
    <t>Materials &amp; Dependency Tracker</t>
  </si>
  <si>
    <t>Fictional material, vendor, inspection, and project-dependency control view</t>
  </si>
  <si>
    <t>Request ID</t>
  </si>
  <si>
    <t>Package / Need</t>
  </si>
  <si>
    <t>Source Strategy</t>
  </si>
  <si>
    <t>Criticality</t>
  </si>
  <si>
    <t>Request Week</t>
  </si>
  <si>
    <t>Forecast Arrival</t>
  </si>
  <si>
    <t>Linked Work Package</t>
  </si>
  <si>
    <t>Control Action</t>
  </si>
  <si>
    <t>PR-001</t>
  </si>
  <si>
    <t>Moisture testing and containment supplies</t>
  </si>
  <si>
    <t>Mitigation support</t>
  </si>
  <si>
    <t>Local restoration supply</t>
  </si>
  <si>
    <t>Week 1</t>
  </si>
  <si>
    <t>Available now</t>
  </si>
  <si>
    <t>Confirm moisture records are complete before rebuild starts.</t>
  </si>
  <si>
    <t>Available</t>
  </si>
  <si>
    <t>PR-002</t>
  </si>
  <si>
    <t>Cabinet replacement</t>
  </si>
  <si>
    <t>Finish material</t>
  </si>
  <si>
    <t>Approved cabinet vendor</t>
  </si>
  <si>
    <t>Week 2</t>
  </si>
  <si>
    <t>Week 7</t>
  </si>
  <si>
    <t>Confirm homeowner selection and written lead time.</t>
  </si>
  <si>
    <t>In Review</t>
  </si>
  <si>
    <t>PR-003</t>
  </si>
  <si>
    <t>Matching flooring material</t>
  </si>
  <si>
    <t>Approved flooring vendor</t>
  </si>
  <si>
    <t>Critical</t>
  </si>
  <si>
    <t>Forecast pending</t>
  </si>
  <si>
    <t>Confirm in-stock options and delivery date before the schedule is locked.</t>
  </si>
  <si>
    <t>PR-004</t>
  </si>
  <si>
    <t>Plumbing repair materials</t>
  </si>
  <si>
    <t>Trade materials</t>
  </si>
  <si>
    <t>Licensed plumber</t>
  </si>
  <si>
    <t>Week 3</t>
  </si>
  <si>
    <t>Check material list before repair starts.</t>
  </si>
  <si>
    <t>Confirmed</t>
  </si>
  <si>
    <t>PR-005</t>
  </si>
  <si>
    <t>Electrical fixtures and replacement parts</t>
  </si>
  <si>
    <t>Licensed electrician</t>
  </si>
  <si>
    <t>Week 4</t>
  </si>
  <si>
    <t>Trade Lead</t>
  </si>
  <si>
    <t>Confirm inspection date and any needed replacement parts.</t>
  </si>
  <si>
    <t>PR-006</t>
  </si>
  <si>
    <t>Drywall, insulation, and ceiling materials</t>
  </si>
  <si>
    <t>Finish materials</t>
  </si>
  <si>
    <t>Local supplier</t>
  </si>
  <si>
    <t>Week 5</t>
  </si>
  <si>
    <t>Week 6</t>
  </si>
  <si>
    <t>Stage materials before drywall work begins.</t>
  </si>
  <si>
    <t>PR-007</t>
  </si>
  <si>
    <t>Paint and trim materials</t>
  </si>
  <si>
    <t>Week 8</t>
  </si>
  <si>
    <t>Confirm color and delivery before paint starts.</t>
  </si>
  <si>
    <t>PR-008</t>
  </si>
  <si>
    <t>Warranty and closeout paperwork</t>
  </si>
  <si>
    <t>Project records</t>
  </si>
  <si>
    <t>Project controls</t>
  </si>
  <si>
    <t>Week 10</t>
  </si>
  <si>
    <t>Week 12</t>
  </si>
  <si>
    <t>Build the final packet before the homeowner walkthrough.</t>
  </si>
  <si>
    <t>Quality Gates &amp; Homeowner Walkthrough Checklist</t>
  </si>
  <si>
    <t>Fictional approval, inspection, and final walkthrough conditions before homeowner acceptance</t>
  </si>
  <si>
    <t>Gate ID</t>
  </si>
  <si>
    <t>Quality / Decision Gate</t>
  </si>
  <si>
    <t>Required Evidence</t>
  </si>
  <si>
    <t>Planned Week</t>
  </si>
  <si>
    <t>Acceptance Condition</t>
  </si>
  <si>
    <t>G-001</t>
  </si>
  <si>
    <t>Initial damage scope and homeowner priorities approved</t>
  </si>
  <si>
    <t>Damage photos, scope notes, and owner decisions</t>
  </si>
  <si>
    <t>Keep scope changes visible.</t>
  </si>
  <si>
    <t>Rebuild goal and approved work are understood.</t>
  </si>
  <si>
    <t>G-002</t>
  </si>
  <si>
    <t>Cabinet and flooring plan confirmed</t>
  </si>
  <si>
    <t>Selections, vendor dates, and ordering plan</t>
  </si>
  <si>
    <t>Project Lead / Homeowner</t>
  </si>
  <si>
    <t>Get written selections and backup options.</t>
  </si>
  <si>
    <t>Materials have a reliable arrival date.</t>
  </si>
  <si>
    <t>G-003</t>
  </si>
  <si>
    <t>Plumbing, electrical, and rough-in work complete</t>
  </si>
  <si>
    <t>Trade signoff and inspection evidence</t>
  </si>
  <si>
    <t>Protect inspection window and trade handoffs.</t>
  </si>
  <si>
    <t>Walls are ready to close and no open trade issue remains.</t>
  </si>
  <si>
    <t>G-004</t>
  </si>
  <si>
    <t>Drywall and paint phase complete</t>
  </si>
  <si>
    <t>Quality check and room photos</t>
  </si>
  <si>
    <t>Check finish before cabinets and flooring.</t>
  </si>
  <si>
    <t>Repaired areas match surrounding space.</t>
  </si>
  <si>
    <t>G-005</t>
  </si>
  <si>
    <t>Cabinets, trim, flooring, and fixture work complete</t>
  </si>
  <si>
    <t>Vendor completion notes and room review</t>
  </si>
  <si>
    <t>Confirm material dates and site access.</t>
  </si>
  <si>
    <t>Finish work is complete enough for final walk.</t>
  </si>
  <si>
    <t>G-006</t>
  </si>
  <si>
    <t>Final quality walkthrough and punch list closure</t>
  </si>
  <si>
    <t>Room-by-room list and closed items</t>
  </si>
  <si>
    <t>Use a room-by-room closeout list.</t>
  </si>
  <si>
    <t>No open issue blocks homeowner return.</t>
  </si>
  <si>
    <t>G-007</t>
  </si>
  <si>
    <t>Homeowner acceptance and closeout packet complete</t>
  </si>
  <si>
    <t>Signed walkthrough, warranty files, and final project summary</t>
  </si>
  <si>
    <t>Align final walk and closeout file.</t>
  </si>
  <si>
    <t>Homeowner accepts the project and records are complete.</t>
  </si>
  <si>
    <t>RAIDD Log</t>
  </si>
  <si>
    <t>Risks, assumptions, issues, decisions, and dependencies that need a clear owner</t>
  </si>
  <si>
    <t>ID</t>
  </si>
  <si>
    <t>Type</t>
  </si>
  <si>
    <t>Description</t>
  </si>
  <si>
    <t>Impact</t>
  </si>
  <si>
    <t>Priority</t>
  </si>
  <si>
    <t>Due Week</t>
  </si>
  <si>
    <t>Response / Next Action</t>
  </si>
  <si>
    <t>R-01</t>
  </si>
  <si>
    <t>Risk</t>
  </si>
  <si>
    <t>Cabinet delivery may miss the installation window.</t>
  </si>
  <si>
    <t>Could delay trim, flooring, and final walkthrough.</t>
  </si>
  <si>
    <t>Open</t>
  </si>
  <si>
    <t>Confirm lead time and a backup option.</t>
  </si>
  <si>
    <t>R-02</t>
  </si>
  <si>
    <t>Hidden damage may show up when walls or flooring are opened.</t>
  </si>
  <si>
    <t>Could grow scope, cost, and schedule.</t>
  </si>
  <si>
    <t>Document finding, price change, and get approval before work continues.</t>
  </si>
  <si>
    <t>R-03</t>
  </si>
  <si>
    <t>Flooring material may not match or arrive in time.</t>
  </si>
  <si>
    <t>Could delay finish work and closeout.</t>
  </si>
  <si>
    <t>Confirm available options and delivery date.</t>
  </si>
  <si>
    <t>A-01</t>
  </si>
  <si>
    <t>Assumption</t>
  </si>
  <si>
    <t>Mitigation work and moisture records are complete enough to start rebuild work.</t>
  </si>
  <si>
    <t>Schedule holds if drying information is incomplete.</t>
  </si>
  <si>
    <t>Check final moisture record before demo.</t>
  </si>
  <si>
    <t>A-02</t>
  </si>
  <si>
    <t>Homeowner can make finish choices inside the agreed decision window.</t>
  </si>
  <si>
    <t>Homeowner</t>
  </si>
  <si>
    <t>Late choices can delay materials and trade booking.</t>
  </si>
  <si>
    <t>Send a short decision list with clear deadlines.</t>
  </si>
  <si>
    <t>I-01</t>
  </si>
  <si>
    <t>Issue</t>
  </si>
  <si>
    <t>Adjuster decision on concealed moisture scope is not back yet.</t>
  </si>
  <si>
    <t>Demolition and drywall scope are exposed.</t>
  </si>
  <si>
    <t>Submit photos and estimate. Follow up until there is written direction.</t>
  </si>
  <si>
    <t>I-02</t>
  </si>
  <si>
    <t>Electrical vendor has not confirmed an inspection slot.</t>
  </si>
  <si>
    <t>Could delay wall close-up and drywall start.</t>
  </si>
  <si>
    <t>Confirm appointment or line up a backup.</t>
  </si>
  <si>
    <t>D-01</t>
  </si>
  <si>
    <t>Decision</t>
  </si>
  <si>
    <t>Use one shared rebuild schedule and project tracker instead of managing through texts alone.</t>
  </si>
  <si>
    <t>Owner and vendors see the same priorities and next steps.</t>
  </si>
  <si>
    <t>Approved</t>
  </si>
  <si>
    <t>Update the tracker weekly and after major changes.</t>
  </si>
  <si>
    <t>D-02</t>
  </si>
  <si>
    <t>Keep cabinet and flooring deadlines firm and use approved backup options if lead time slips.</t>
  </si>
  <si>
    <t>Protects the finish schedule.</t>
  </si>
  <si>
    <t>Confirm choices and approve alternates.</t>
  </si>
  <si>
    <t>D-03</t>
  </si>
  <si>
    <t>Dependency</t>
  </si>
  <si>
    <t>Final owner walkthrough depends on punch-list closure, warranty packet, final clean, and all trades closing their work.</t>
  </si>
  <si>
    <t>Defines the Week 12 acceptance condition.</t>
  </si>
  <si>
    <t>Track as one linked closeout gate.</t>
  </si>
  <si>
    <t>Closeout &amp; Lessons Learned</t>
  </si>
  <si>
    <t>Capture what worked and what needs to be better before the project closes</t>
  </si>
  <si>
    <t>Lessons Captured to Date</t>
  </si>
  <si>
    <t>Lesson ID</t>
  </si>
  <si>
    <t>Project Moment</t>
  </si>
  <si>
    <t>What Happened</t>
  </si>
  <si>
    <t>Lesson</t>
  </si>
  <si>
    <t>Recommended Standard</t>
  </si>
  <si>
    <t>Reuse Opportunity</t>
  </si>
  <si>
    <t>LL-01</t>
  </si>
  <si>
    <t>Scope and homeowner decisions</t>
  </si>
  <si>
    <t>Early photos, room-by-room notes, and approval points make it easier to keep a rebuild from becoming a guessing game.</t>
  </si>
  <si>
    <t>Get the scope and decision deadlines clear early, then track changes in one place.</t>
  </si>
  <si>
    <t>Start every rebuild with a short scope summary, homeowner decision list, and change log.</t>
  </si>
  <si>
    <t>Future restoration and renovation projects</t>
  </si>
  <si>
    <t>LL-02</t>
  </si>
  <si>
    <t>Materials</t>
  </si>
  <si>
    <t>One cabinet or flooring delay can impact half the finish schedule.</t>
  </si>
  <si>
    <t>Long-lead items need active follow-up before finish work starts.</t>
  </si>
  <si>
    <t>Flag cabinets, flooring, fixtures, and special-order materials as critical dependencies and check dates twice a week.</t>
  </si>
  <si>
    <t>Materials and vendor tracker</t>
  </si>
  <si>
    <t>LL-03</t>
  </si>
  <si>
    <t>Trade handoffs</t>
  </si>
  <si>
    <t>Rough-in, inspection, drywall, and finishes are tied together. A missed handoff makes the next trade wait.</t>
  </si>
  <si>
    <t>Confirm who owns the handoff and what has to be complete before the next step.</t>
  </si>
  <si>
    <t>Use a short ready-for-next-trade checklist.</t>
  </si>
  <si>
    <t>Trade coordination plan</t>
  </si>
  <si>
    <t>LL-04</t>
  </si>
  <si>
    <t>Waiting until the end to find punch items can turn a final walk into several extra weeks.</t>
  </si>
  <si>
    <t>Quality checks should happen room by room before the owner walkthrough.</t>
  </si>
  <si>
    <t>Build the punch list before final clean and warranty handoff.</t>
  </si>
  <si>
    <t>Quality gate checklist</t>
  </si>
  <si>
    <t>LL-05</t>
  </si>
  <si>
    <t>Homeowner updates</t>
  </si>
  <si>
    <t>A simple weekly update keeps the homeowner from having to chase answers.</t>
  </si>
  <si>
    <t>Owners need a clear view of what was done, what is next, and what needs a decision.</t>
  </si>
  <si>
    <t>Use a one-page weekly update during active rebuild work.</t>
  </si>
  <si>
    <t>Weekly status update</t>
  </si>
  <si>
    <t>Closeout Item</t>
  </si>
  <si>
    <t>Final walkthrough package</t>
  </si>
  <si>
    <t>Signed walkthrough, room checklist, warranty packet, and final status update</t>
  </si>
  <si>
    <t>Gives the homeowner a clear final handoff.</t>
  </si>
  <si>
    <t>Build it before the walkthrough.</t>
  </si>
  <si>
    <t>Fictional case-study artifact</t>
  </si>
  <si>
    <t>Budget reconciliation</t>
  </si>
  <si>
    <t>Project Controls</t>
  </si>
  <si>
    <t>Final forecast, variance explanation, and contingency use</t>
  </si>
  <si>
    <t>Confirms cost control and any scope changes.</t>
  </si>
  <si>
    <t>Update after vendor invoices are forecast.</t>
  </si>
  <si>
    <t>Illustrative project cost view</t>
  </si>
  <si>
    <t>RAIDD closure review</t>
  </si>
  <si>
    <t>Open item disposition and change archive</t>
  </si>
  <si>
    <t>Makes sure no loose risk is left behind.</t>
  </si>
  <si>
    <t>Close or transition every item.</t>
  </si>
  <si>
    <t>Illustrative governance control</t>
  </si>
  <si>
    <t>Lessons learned review</t>
  </si>
  <si>
    <t>Approved lessons summary and what to reuse next time</t>
  </si>
  <si>
    <t>Turns the project into better future work.</t>
  </si>
  <si>
    <t>Review after walkthrough.</t>
  </si>
  <si>
    <t>Public portfolio-safe summary only</t>
  </si>
  <si>
    <t>Workbook archive</t>
  </si>
  <si>
    <t>Final workbook and restoration project case-study narrative</t>
  </si>
  <si>
    <t>Keeps the project easy to explain and reuse.</t>
  </si>
  <si>
    <t>Publish approved portfolio copy.</t>
  </si>
  <si>
    <t>No real client information included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</si>
</sst>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quot;Week &quot;0"/>
  </numFmts>
  <fonts count="15">
    <font>
      <sz val="11"/>
      <name val="Carlito"/>
    </font>
    <font>
      <b/>
      <sz val="11"/>
      <color rgb="FFFFFDF8"/>
      <name val="Candara"/>
      <family val="2"/>
    </font>
    <font>
      <sz val="11"/>
      <color rgb="FF72766F"/>
      <name val="Candara"/>
      <family val="2"/>
    </font>
    <font>
      <sz val="11"/>
      <name val="Candara"/>
      <family val="2"/>
    </font>
    <font>
      <b/>
      <sz val="11"/>
      <color rgb="FF72766F"/>
      <name val="Candara"/>
      <family val="2"/>
    </font>
    <font>
      <b/>
      <sz val="11"/>
      <color rgb="FF202422"/>
      <name val="Candara"/>
      <family val="2"/>
    </font>
    <font>
      <sz val="11"/>
      <color rgb="FF202422"/>
      <name val="Candara"/>
      <family val="2"/>
    </font>
    <font>
      <sz val="11"/>
      <color rgb="FF3D463F"/>
      <name val="Candara"/>
      <family val="2"/>
    </font>
    <font>
      <b/>
      <sz val="11"/>
      <color rgb="FFB14A3F"/>
      <name val="Candara"/>
      <family val="2"/>
    </font>
    <font>
      <b/>
      <sz val="11"/>
      <color rgb="FF315B3B"/>
      <name val="Candara"/>
      <family val="2"/>
    </font>
    <font>
      <b/>
      <sz val="11"/>
      <color rgb="FF3D463F"/>
      <name val="Candara"/>
      <family val="2"/>
    </font>
    <font>
      <sz val="18"/>
      <color rgb="FFFFFDF8"/>
      <name val="Candara"/>
      <family val="2"/>
    </font>
    <font>
      <b/>
      <sz val="20"/>
      <color rgb="FFFFFDF8"/>
      <name val="Candara"/>
      <family val="2"/>
    </font>
    <font>
      <sz val="20"/>
      <color rgb="FFFFFDF8"/>
      <name val="Candara"/>
      <family val="2"/>
    </font>
    <font>
      <sz val="13"/>
      <color rgb="FF72766F"/>
      <name val="Candara"/>
      <family val="2"/>
    </font>
  </fonts>
  <fills count="10">
    <fill>
      <patternFill patternType="none"/>
    </fill>
    <fill>
      <patternFill patternType="gray125"/>
    </fill>
    <fill>
      <patternFill patternType="solid">
        <fgColor rgb="FF202422"/>
      </patternFill>
    </fill>
    <fill>
      <patternFill patternType="solid">
        <fgColor rgb="FFF7F2E8"/>
      </patternFill>
    </fill>
    <fill>
      <patternFill patternType="solid">
        <fgColor rgb="FFB4873E"/>
      </patternFill>
    </fill>
    <fill>
      <patternFill patternType="solid">
        <fgColor rgb="FFFFFDF8"/>
      </patternFill>
    </fill>
    <fill>
      <patternFill patternType="solid">
        <fgColor rgb="FF3D463F"/>
      </patternFill>
    </fill>
    <fill>
      <patternFill patternType="solid">
        <fgColor rgb="FFF2E5CF"/>
      </patternFill>
    </fill>
    <fill>
      <patternFill patternType="solid">
        <fgColor rgb="FFDCE8DD"/>
      </patternFill>
    </fill>
    <fill>
      <patternFill patternType="solid">
        <fgColor rgb="FFF6D6D0"/>
      </patternFill>
    </fill>
  </fills>
  <borders count="1">
    <border>
      <left/>
      <right/>
      <top/>
      <bottom/>
      <diagonal/>
    </border>
  </borders>
  <cellStyleXfs count="1">
    <xf numFmtId="0" fontId="0" fillId="0" borderId="0"/>
  </cellStyleXfs>
  <cellXfs count="26">
    <xf numFmtId="0" fontId="0" fillId="0" borderId="0" xfId="0"/>
    <xf numFmtId="0" fontId="4" fillId="3" borderId="0" xfId="0" applyFont="1" applyFill="1" applyAlignment="1">
      <alignment horizontal="center" vertical="center"/>
    </xf>
    <xf numFmtId="9" fontId="5" fillId="5" borderId="0" xfId="0" applyNumberFormat="1" applyFont="1" applyFill="1" applyAlignment="1">
      <alignment horizontal="center" vertical="center"/>
    </xf>
    <xf numFmtId="0" fontId="5" fillId="5" borderId="0" xfId="0" applyFont="1" applyFill="1" applyAlignment="1">
      <alignment horizontal="center" vertical="center"/>
    </xf>
    <xf numFmtId="0" fontId="2" fillId="5" borderId="0" xfId="0" applyFont="1" applyFill="1" applyAlignment="1">
      <alignment horizontal="center" vertical="center" wrapText="1"/>
    </xf>
    <xf numFmtId="0" fontId="1" fillId="6" borderId="0" xfId="0" applyFont="1" applyFill="1" applyAlignment="1">
      <alignment horizontal="center" vertical="center" wrapText="1"/>
    </xf>
    <xf numFmtId="0" fontId="3" fillId="4" borderId="0" xfId="0" applyFont="1" applyFill="1" applyAlignment="1">
      <alignment horizontal="center" vertical="center"/>
    </xf>
    <xf numFmtId="0" fontId="1" fillId="6" borderId="0" xfId="0" applyFont="1" applyFill="1" applyAlignment="1">
      <alignment horizontal="center" vertical="center"/>
    </xf>
    <xf numFmtId="0" fontId="6" fillId="5" borderId="0" xfId="0" applyFont="1" applyFill="1" applyAlignment="1">
      <alignment horizontal="center" vertical="center" wrapText="1"/>
    </xf>
    <xf numFmtId="0" fontId="6" fillId="5" borderId="0" xfId="0" applyFont="1" applyFill="1" applyAlignment="1">
      <alignment horizontal="center" vertical="center" wrapText="1"/>
    </xf>
    <xf numFmtId="164" fontId="6" fillId="5" borderId="0" xfId="0" applyNumberFormat="1" applyFont="1" applyFill="1" applyAlignment="1">
      <alignment horizontal="center" vertical="center" wrapText="1"/>
    </xf>
    <xf numFmtId="0" fontId="3" fillId="0" borderId="0" xfId="0" applyFont="1" applyAlignment="1">
      <alignment horizontal="center" vertical="center"/>
    </xf>
    <xf numFmtId="0" fontId="7" fillId="3" borderId="0" xfId="0" applyFont="1" applyFill="1" applyAlignment="1">
      <alignment horizontal="center" vertical="center" wrapText="1"/>
    </xf>
    <xf numFmtId="0" fontId="10" fillId="7" borderId="0" xfId="0" applyFont="1" applyFill="1" applyAlignment="1">
      <alignment horizontal="center" vertical="center" wrapText="1"/>
    </xf>
    <xf numFmtId="0" fontId="3" fillId="0" borderId="0" xfId="0" applyFont="1" applyAlignment="1">
      <alignment horizontal="center" vertical="center"/>
    </xf>
    <xf numFmtId="0" fontId="9" fillId="8" borderId="0" xfId="0" applyFont="1" applyFill="1" applyAlignment="1">
      <alignment horizontal="center" vertical="center" wrapText="1"/>
    </xf>
    <xf numFmtId="0" fontId="8" fillId="9" borderId="0" xfId="0" applyFont="1" applyFill="1" applyAlignment="1">
      <alignment horizontal="center" vertical="center" wrapText="1"/>
    </xf>
    <xf numFmtId="0" fontId="11" fillId="2" borderId="0" xfId="0" applyFont="1" applyFill="1" applyAlignment="1">
      <alignment horizontal="center" vertical="center"/>
    </xf>
    <xf numFmtId="0" fontId="12" fillId="2" borderId="0" xfId="0" applyFont="1" applyFill="1" applyAlignment="1">
      <alignment horizontal="center" vertical="center"/>
    </xf>
    <xf numFmtId="1" fontId="6" fillId="5" borderId="0" xfId="0" applyNumberFormat="1" applyFont="1" applyFill="1" applyAlignment="1">
      <alignment horizontal="center" vertical="center" wrapText="1"/>
    </xf>
    <xf numFmtId="9" fontId="6" fillId="5" borderId="0" xfId="0" applyNumberFormat="1" applyFont="1" applyFill="1" applyAlignment="1">
      <alignment horizontal="center" vertical="center" wrapText="1"/>
    </xf>
    <xf numFmtId="0" fontId="13" fillId="2" borderId="0" xfId="0" applyFont="1" applyFill="1" applyAlignment="1">
      <alignment horizontal="center" vertical="center"/>
    </xf>
    <xf numFmtId="0" fontId="14" fillId="3" borderId="0" xfId="0" applyFont="1" applyFill="1" applyAlignment="1">
      <alignment horizontal="center" vertical="center"/>
    </xf>
    <xf numFmtId="165" fontId="1" fillId="6" borderId="0" xfId="0" applyNumberFormat="1" applyFont="1" applyFill="1" applyAlignment="1">
      <alignment horizontal="center" vertical="center" wrapText="1"/>
    </xf>
    <xf numFmtId="164" fontId="5" fillId="5" borderId="0" xfId="0" applyNumberFormat="1" applyFont="1" applyFill="1" applyAlignment="1">
      <alignment horizontal="center" vertical="center"/>
    </xf>
    <xf numFmtId="164" fontId="10" fillId="7" borderId="0" xfId="0" applyNumberFormat="1" applyFont="1" applyFill="1" applyAlignment="1">
      <alignment horizontal="center" vertical="center" wrapText="1"/>
    </xf>
  </cellXfs>
  <cellStyles count="1">
    <cellStyle name="Normal" xfId="0" builtinId="0"/>
  </cellStyles>
  <dxfs count="150">
    <dxf>
      <font>
        <b/>
        <color rgb="FF72766F"/>
      </font>
      <fill>
        <patternFill>
          <bgColor rgb="FFE9EBE7"/>
        </patternFill>
      </fill>
    </dxf>
    <dxf>
      <font>
        <b/>
        <color rgb="FF72766F"/>
      </font>
      <fill>
        <patternFill>
          <bgColor rgb="FFE9EBE7"/>
        </patternFill>
      </fill>
    </dxf>
    <dxf>
      <font>
        <b/>
        <color rgb="FFB14A3F"/>
      </font>
      <fill>
        <patternFill>
          <bgColor rgb="FFF6D6D0"/>
        </patternFill>
      </fill>
    </dxf>
    <dxf>
      <font>
        <b/>
        <color rgb="FFB14A3F"/>
      </font>
      <fill>
        <patternFill>
          <bgColor rgb="FFF6D6D0"/>
        </patternFill>
      </fill>
    </dxf>
    <dxf>
      <font>
        <b/>
        <color rgb="FF9A6A20"/>
      </font>
      <fill>
        <patternFill>
          <bgColor rgb="FFF5E7BC"/>
        </patternFill>
      </fill>
    </dxf>
    <dxf>
      <font>
        <b/>
        <color rgb="FF9A6A20"/>
      </font>
      <fill>
        <patternFill>
          <bgColor rgb="FFF5E7BC"/>
        </patternFill>
      </fill>
    </dxf>
    <dxf>
      <font>
        <b/>
        <color rgb="FF9A6A20"/>
      </font>
      <fill>
        <patternFill>
          <bgColor rgb="FFF5E7BC"/>
        </patternFill>
      </fill>
    </dxf>
    <dxf>
      <font>
        <b/>
        <color rgb="FF9A6A20"/>
      </font>
      <fill>
        <patternFill>
          <bgColor rgb="FFF5E7BC"/>
        </patternFill>
      </fill>
    </dxf>
    <dxf>
      <font>
        <b/>
        <color rgb="FF315B3B"/>
      </font>
      <fill>
        <patternFill>
          <bgColor rgb="FFDCE8DD"/>
        </patternFill>
      </fill>
    </dxf>
    <dxf>
      <font>
        <b/>
        <color rgb="FF315B3B"/>
      </font>
      <fill>
        <patternFill>
          <bgColor rgb="FFDCE8DD"/>
        </patternFill>
      </fill>
    </dxf>
    <dxf>
      <font>
        <b/>
        <color rgb="FF315B3B"/>
      </font>
      <fill>
        <patternFill>
          <bgColor rgb="FFDCE8DD"/>
        </patternFill>
      </fill>
    </dxf>
    <dxf>
      <font>
        <b/>
        <color rgb="FF315B3B"/>
      </font>
      <fill>
        <patternFill>
          <bgColor rgb="FFDCE8DD"/>
        </patternFill>
      </fill>
    </dxf>
    <dxf>
      <font>
        <b/>
        <color rgb="FF315B3B"/>
      </font>
      <fill>
        <patternFill>
          <bgColor rgb="FFDCE8DD"/>
        </patternFill>
      </fill>
    </dxf>
    <dxf>
      <font>
        <b/>
        <color rgb="FF72766F"/>
      </font>
      <fill>
        <patternFill>
          <bgColor rgb="FFE9EBE7"/>
        </patternFill>
      </fill>
    </dxf>
    <dxf>
      <font>
        <b/>
        <color rgb="FF72766F"/>
      </font>
      <fill>
        <patternFill>
          <bgColor rgb="FFE9EBE7"/>
        </patternFill>
      </fill>
    </dxf>
    <dxf>
      <font>
        <b/>
        <color rgb="FFB14A3F"/>
      </font>
      <fill>
        <patternFill>
          <bgColor rgb="FFF6D6D0"/>
        </patternFill>
      </fill>
    </dxf>
    <dxf>
      <font>
        <b/>
        <color rgb="FFB14A3F"/>
      </font>
      <fill>
        <patternFill>
          <bgColor rgb="FFF6D6D0"/>
        </patternFill>
      </fill>
    </dxf>
    <dxf>
      <font>
        <b/>
        <color rgb="FF9A6A20"/>
      </font>
      <fill>
        <patternFill>
          <bgColor rgb="FFF5E7BC"/>
        </patternFill>
      </fill>
    </dxf>
    <dxf>
      <font>
        <b/>
        <color rgb="FF9A6A20"/>
      </font>
      <fill>
        <patternFill>
          <bgColor rgb="FFF5E7BC"/>
        </patternFill>
      </fill>
    </dxf>
    <dxf>
      <font>
        <b/>
        <color rgb="FF9A6A20"/>
      </font>
      <fill>
        <patternFill>
          <bgColor rgb="FFF5E7BC"/>
        </patternFill>
      </fill>
    </dxf>
    <dxf>
      <font>
        <b/>
        <color rgb="FF9A6A20"/>
      </font>
      <fill>
        <patternFill>
          <bgColor rgb="FFF5E7BC"/>
        </patternFill>
      </fill>
    </dxf>
    <dxf>
      <font>
        <b/>
        <color rgb="FF315B3B"/>
      </font>
      <fill>
        <patternFill>
          <bgColor rgb="FFDCE8DD"/>
        </patternFill>
      </fill>
    </dxf>
    <dxf>
      <font>
        <b/>
        <color rgb="FF315B3B"/>
      </font>
      <fill>
        <patternFill>
          <bgColor rgb="FFDCE8DD"/>
        </patternFill>
      </fill>
    </dxf>
    <dxf>
      <font>
        <b/>
        <color rgb="FF315B3B"/>
      </font>
      <fill>
        <patternFill>
          <bgColor rgb="FFDCE8DD"/>
        </patternFill>
      </fill>
    </dxf>
    <dxf>
      <font>
        <b/>
        <color rgb="FF315B3B"/>
      </font>
      <fill>
        <patternFill>
          <bgColor rgb="FFDCE8DD"/>
        </patternFill>
      </fill>
    </dxf>
    <dxf>
      <font>
        <b/>
        <color rgb="FF315B3B"/>
      </font>
      <fill>
        <patternFill>
          <bgColor rgb="FFDCE8DD"/>
        </patternFill>
      </fill>
    </dxf>
    <dxf>
      <font>
        <b/>
        <color rgb="FF72766F"/>
      </font>
      <fill>
        <patternFill>
          <bgColor rgb="FFE9EBE7"/>
        </patternFill>
      </fill>
    </dxf>
    <dxf>
      <font>
        <b/>
        <color rgb="FF72766F"/>
      </font>
      <fill>
        <patternFill>
          <bgColor rgb="FFE9EBE7"/>
        </patternFill>
      </fill>
    </dxf>
    <dxf>
      <font>
        <b/>
        <color rgb="FFB14A3F"/>
      </font>
      <fill>
        <patternFill>
          <bgColor rgb="FFF6D6D0"/>
        </patternFill>
      </fill>
    </dxf>
    <dxf>
      <font>
        <b/>
        <color rgb="FFB14A3F"/>
      </font>
      <fill>
        <patternFill>
          <bgColor rgb="FFF6D6D0"/>
        </patternFill>
      </fill>
    </dxf>
    <dxf>
      <font>
        <b/>
        <color rgb="FF9A6A20"/>
      </font>
      <fill>
        <patternFill>
          <bgColor rgb="FFF5E7BC"/>
        </patternFill>
      </fill>
    </dxf>
    <dxf>
      <font>
        <b/>
        <color rgb="FF9A6A20"/>
      </font>
      <fill>
        <patternFill>
          <bgColor rgb="FFF5E7BC"/>
        </patternFill>
      </fill>
    </dxf>
    <dxf>
      <font>
        <b/>
        <color rgb="FF9A6A20"/>
      </font>
      <fill>
        <patternFill>
          <bgColor rgb="FFF5E7BC"/>
        </patternFill>
      </fill>
    </dxf>
    <dxf>
      <font>
        <b/>
        <color rgb="FF9A6A20"/>
      </font>
      <fill>
        <patternFill>
          <bgColor rgb="FFF5E7BC"/>
        </patternFill>
      </fill>
    </dxf>
    <dxf>
      <font>
        <b/>
        <color rgb="FF315B3B"/>
      </font>
      <fill>
        <patternFill>
          <bgColor rgb="FFDCE8DD"/>
        </patternFill>
      </fill>
    </dxf>
    <dxf>
      <font>
        <b/>
        <color rgb="FF315B3B"/>
      </font>
      <fill>
        <patternFill>
          <bgColor rgb="FFDCE8DD"/>
        </patternFill>
      </fill>
    </dxf>
    <dxf>
      <font>
        <b/>
        <color rgb="FF315B3B"/>
      </font>
      <fill>
        <patternFill>
          <bgColor rgb="FFDCE8DD"/>
        </patternFill>
      </fill>
    </dxf>
    <dxf>
      <font>
        <b/>
        <color rgb="FF315B3B"/>
      </font>
      <fill>
        <patternFill>
          <bgColor rgb="FFDCE8DD"/>
        </patternFill>
      </fill>
    </dxf>
    <dxf>
      <font>
        <b/>
        <color rgb="FF315B3B"/>
      </font>
      <fill>
        <patternFill>
          <bgColor rgb="FFDCE8DD"/>
        </patternFill>
      </fill>
    </dxf>
    <dxf>
      <font>
        <b/>
        <color rgb="FF9A6A20"/>
      </font>
      <fill>
        <patternFill>
          <bgColor rgb="FFF5E7BC"/>
        </patternFill>
      </fill>
    </dxf>
    <dxf>
      <font>
        <b/>
        <color rgb="FFB14A3F"/>
      </font>
      <fill>
        <patternFill>
          <bgColor rgb="FFF6D6D0"/>
        </patternFill>
      </fill>
    </dxf>
    <dxf>
      <font>
        <b/>
        <color rgb="FF72766F"/>
      </font>
      <fill>
        <patternFill>
          <bgColor rgb="FFE9EBE7"/>
        </patternFill>
      </fill>
    </dxf>
    <dxf>
      <font>
        <b/>
        <color rgb="FF72766F"/>
      </font>
      <fill>
        <patternFill>
          <bgColor rgb="FFE9EBE7"/>
        </patternFill>
      </fill>
    </dxf>
    <dxf>
      <font>
        <b/>
        <color rgb="FFB14A3F"/>
      </font>
      <fill>
        <patternFill>
          <bgColor rgb="FFF6D6D0"/>
        </patternFill>
      </fill>
    </dxf>
    <dxf>
      <font>
        <b/>
        <color rgb="FFB14A3F"/>
      </font>
      <fill>
        <patternFill>
          <bgColor rgb="FFF6D6D0"/>
        </patternFill>
      </fill>
    </dxf>
    <dxf>
      <font>
        <b/>
        <color rgb="FF9A6A20"/>
      </font>
      <fill>
        <patternFill>
          <bgColor rgb="FFF5E7BC"/>
        </patternFill>
      </fill>
    </dxf>
    <dxf>
      <font>
        <b/>
        <color rgb="FF9A6A20"/>
      </font>
      <fill>
        <patternFill>
          <bgColor rgb="FFF5E7BC"/>
        </patternFill>
      </fill>
    </dxf>
    <dxf>
      <font>
        <b/>
        <color rgb="FF9A6A20"/>
      </font>
      <fill>
        <patternFill>
          <bgColor rgb="FFF5E7BC"/>
        </patternFill>
      </fill>
    </dxf>
    <dxf>
      <font>
        <b/>
        <color rgb="FF9A6A20"/>
      </font>
      <fill>
        <patternFill>
          <bgColor rgb="FFF5E7BC"/>
        </patternFill>
      </fill>
    </dxf>
    <dxf>
      <font>
        <b/>
        <color rgb="FF315B3B"/>
      </font>
      <fill>
        <patternFill>
          <bgColor rgb="FFDCE8DD"/>
        </patternFill>
      </fill>
    </dxf>
    <dxf>
      <font>
        <b/>
        <color rgb="FF315B3B"/>
      </font>
      <fill>
        <patternFill>
          <bgColor rgb="FFDCE8DD"/>
        </patternFill>
      </fill>
    </dxf>
    <dxf>
      <font>
        <b/>
        <color rgb="FF315B3B"/>
      </font>
      <fill>
        <patternFill>
          <bgColor rgb="FFDCE8DD"/>
        </patternFill>
      </fill>
    </dxf>
    <dxf>
      <font>
        <b/>
        <color rgb="FF315B3B"/>
      </font>
      <fill>
        <patternFill>
          <bgColor rgb="FFDCE8DD"/>
        </patternFill>
      </fill>
    </dxf>
    <dxf>
      <font>
        <b/>
        <color rgb="FF315B3B"/>
      </font>
      <fill>
        <patternFill>
          <bgColor rgb="FFDCE8DD"/>
        </patternFill>
      </fill>
    </dxf>
    <dxf>
      <font>
        <b/>
        <color rgb="FF72766F"/>
      </font>
      <fill>
        <patternFill>
          <bgColor rgb="FFE9EBE7"/>
        </patternFill>
      </fill>
    </dxf>
    <dxf>
      <font>
        <b/>
        <color rgb="FF72766F"/>
      </font>
      <fill>
        <patternFill>
          <bgColor rgb="FFE9EBE7"/>
        </patternFill>
      </fill>
    </dxf>
    <dxf>
      <font>
        <b/>
        <color rgb="FFB14A3F"/>
      </font>
      <fill>
        <patternFill>
          <bgColor rgb="FFF6D6D0"/>
        </patternFill>
      </fill>
    </dxf>
    <dxf>
      <font>
        <b/>
        <color rgb="FFB14A3F"/>
      </font>
      <fill>
        <patternFill>
          <bgColor rgb="FFF6D6D0"/>
        </patternFill>
      </fill>
    </dxf>
    <dxf>
      <font>
        <b/>
        <color rgb="FF9A6A20"/>
      </font>
      <fill>
        <patternFill>
          <bgColor rgb="FFF5E7BC"/>
        </patternFill>
      </fill>
    </dxf>
    <dxf>
      <font>
        <b/>
        <color rgb="FF9A6A20"/>
      </font>
      <fill>
        <patternFill>
          <bgColor rgb="FFF5E7BC"/>
        </patternFill>
      </fill>
    </dxf>
    <dxf>
      <font>
        <b/>
        <color rgb="FF9A6A20"/>
      </font>
      <fill>
        <patternFill>
          <bgColor rgb="FFF5E7BC"/>
        </patternFill>
      </fill>
    </dxf>
    <dxf>
      <font>
        <b/>
        <color rgb="FF9A6A20"/>
      </font>
      <fill>
        <patternFill>
          <bgColor rgb="FFF5E7BC"/>
        </patternFill>
      </fill>
    </dxf>
    <dxf>
      <font>
        <b/>
        <color rgb="FF315B3B"/>
      </font>
      <fill>
        <patternFill>
          <bgColor rgb="FFDCE8DD"/>
        </patternFill>
      </fill>
    </dxf>
    <dxf>
      <font>
        <b/>
        <color rgb="FF315B3B"/>
      </font>
      <fill>
        <patternFill>
          <bgColor rgb="FFDCE8DD"/>
        </patternFill>
      </fill>
    </dxf>
    <dxf>
      <font>
        <b/>
        <color rgb="FF315B3B"/>
      </font>
      <fill>
        <patternFill>
          <bgColor rgb="FFDCE8DD"/>
        </patternFill>
      </fill>
    </dxf>
    <dxf>
      <font>
        <b/>
        <color rgb="FF315B3B"/>
      </font>
      <fill>
        <patternFill>
          <bgColor rgb="FFDCE8DD"/>
        </patternFill>
      </fill>
    </dxf>
    <dxf>
      <font>
        <b/>
        <color rgb="FF315B3B"/>
      </font>
      <fill>
        <patternFill>
          <bgColor rgb="FFDCE8DD"/>
        </patternFill>
      </fill>
    </dxf>
    <dxf>
      <font>
        <b/>
        <color rgb="FF9A6A20"/>
      </font>
      <fill>
        <patternFill>
          <bgColor rgb="FFF5E7BC"/>
        </patternFill>
      </fill>
    </dxf>
    <dxf>
      <font>
        <b/>
        <color rgb="FFB14A3F"/>
      </font>
      <fill>
        <patternFill>
          <bgColor rgb="FFF6D6D0"/>
        </patternFill>
      </fill>
    </dxf>
    <dxf>
      <font>
        <b/>
        <color rgb="FF72766F"/>
      </font>
      <fill>
        <patternFill>
          <bgColor rgb="FFE9EBE7"/>
        </patternFill>
      </fill>
    </dxf>
    <dxf>
      <font>
        <b/>
        <color rgb="FF72766F"/>
      </font>
      <fill>
        <patternFill>
          <bgColor rgb="FFE9EBE7"/>
        </patternFill>
      </fill>
    </dxf>
    <dxf>
      <font>
        <b/>
        <color rgb="FFB14A3F"/>
      </font>
      <fill>
        <patternFill>
          <bgColor rgb="FFF6D6D0"/>
        </patternFill>
      </fill>
    </dxf>
    <dxf>
      <font>
        <b/>
        <color rgb="FFB14A3F"/>
      </font>
      <fill>
        <patternFill>
          <bgColor rgb="FFF6D6D0"/>
        </patternFill>
      </fill>
    </dxf>
    <dxf>
      <font>
        <b/>
        <color rgb="FF9A6A20"/>
      </font>
      <fill>
        <patternFill>
          <bgColor rgb="FFF5E7BC"/>
        </patternFill>
      </fill>
    </dxf>
    <dxf>
      <font>
        <b/>
        <color rgb="FF9A6A20"/>
      </font>
      <fill>
        <patternFill>
          <bgColor rgb="FFF5E7BC"/>
        </patternFill>
      </fill>
    </dxf>
    <dxf>
      <font>
        <b/>
        <color rgb="FF9A6A20"/>
      </font>
      <fill>
        <patternFill>
          <bgColor rgb="FFF5E7BC"/>
        </patternFill>
      </fill>
    </dxf>
    <dxf>
      <font>
        <b/>
        <color rgb="FF9A6A20"/>
      </font>
      <fill>
        <patternFill>
          <bgColor rgb="FFF5E7BC"/>
        </patternFill>
      </fill>
    </dxf>
    <dxf>
      <font>
        <b/>
        <color rgb="FF315B3B"/>
      </font>
      <fill>
        <patternFill>
          <bgColor rgb="FFDCE8DD"/>
        </patternFill>
      </fill>
    </dxf>
    <dxf>
      <font>
        <b/>
        <color rgb="FF315B3B"/>
      </font>
      <fill>
        <patternFill>
          <bgColor rgb="FFDCE8DD"/>
        </patternFill>
      </fill>
    </dxf>
    <dxf>
      <font>
        <b/>
        <color rgb="FF315B3B"/>
      </font>
      <fill>
        <patternFill>
          <bgColor rgb="FFDCE8DD"/>
        </patternFill>
      </fill>
    </dxf>
    <dxf>
      <font>
        <b/>
        <color rgb="FF315B3B"/>
      </font>
      <fill>
        <patternFill>
          <bgColor rgb="FFDCE8DD"/>
        </patternFill>
      </fill>
    </dxf>
    <dxf>
      <font>
        <b/>
        <color rgb="FF315B3B"/>
      </font>
      <fill>
        <patternFill>
          <bgColor rgb="FFDCE8DD"/>
        </patternFill>
      </fill>
    </dxf>
    <dxf>
      <font>
        <b/>
        <color rgb="FF315B3B"/>
      </font>
      <fill>
        <patternFill>
          <bgColor rgb="FFDCE8DD"/>
        </patternFill>
      </fill>
    </dxf>
    <dxf>
      <font>
        <b/>
        <color rgb="FFB14A3F"/>
      </font>
      <fill>
        <patternFill>
          <bgColor rgb="FFF6D6D0"/>
        </patternFill>
      </fill>
    </dxf>
    <dxf>
      <font>
        <color rgb="FFB4873E"/>
      </font>
      <fill>
        <patternFill>
          <bgColor rgb="FFB4873E"/>
        </patternFill>
      </fill>
    </dxf>
    <dxf>
      <font>
        <b/>
        <color rgb="FF72766F"/>
      </font>
      <fill>
        <patternFill>
          <bgColor rgb="FFE9EBE7"/>
        </patternFill>
      </fill>
    </dxf>
    <dxf>
      <font>
        <b/>
        <color rgb="FF72766F"/>
      </font>
      <fill>
        <patternFill>
          <bgColor rgb="FFE9EBE7"/>
        </patternFill>
      </fill>
    </dxf>
    <dxf>
      <font>
        <b/>
        <color rgb="FFB14A3F"/>
      </font>
      <fill>
        <patternFill>
          <bgColor rgb="FFF6D6D0"/>
        </patternFill>
      </fill>
    </dxf>
    <dxf>
      <font>
        <b/>
        <color rgb="FFB14A3F"/>
      </font>
      <fill>
        <patternFill>
          <bgColor rgb="FFF6D6D0"/>
        </patternFill>
      </fill>
    </dxf>
    <dxf>
      <font>
        <b/>
        <color rgb="FF9A6A20"/>
      </font>
      <fill>
        <patternFill>
          <bgColor rgb="FFF5E7BC"/>
        </patternFill>
      </fill>
    </dxf>
    <dxf>
      <font>
        <b/>
        <color rgb="FF9A6A20"/>
      </font>
      <fill>
        <patternFill>
          <bgColor rgb="FFF5E7BC"/>
        </patternFill>
      </fill>
    </dxf>
    <dxf>
      <font>
        <b/>
        <color rgb="FF9A6A20"/>
      </font>
      <fill>
        <patternFill>
          <bgColor rgb="FFF5E7BC"/>
        </patternFill>
      </fill>
    </dxf>
    <dxf>
      <font>
        <b/>
        <color rgb="FF9A6A20"/>
      </font>
      <fill>
        <patternFill>
          <bgColor rgb="FFF5E7BC"/>
        </patternFill>
      </fill>
    </dxf>
    <dxf>
      <font>
        <b/>
        <color rgb="FF315B3B"/>
      </font>
      <fill>
        <patternFill>
          <bgColor rgb="FFDCE8DD"/>
        </patternFill>
      </fill>
    </dxf>
    <dxf>
      <font>
        <b/>
        <color rgb="FF315B3B"/>
      </font>
      <fill>
        <patternFill>
          <bgColor rgb="FFDCE8DD"/>
        </patternFill>
      </fill>
    </dxf>
    <dxf>
      <font>
        <b/>
        <color rgb="FF315B3B"/>
      </font>
      <fill>
        <patternFill>
          <bgColor rgb="FFDCE8DD"/>
        </patternFill>
      </fill>
    </dxf>
    <dxf>
      <font>
        <b/>
        <color rgb="FF315B3B"/>
      </font>
      <fill>
        <patternFill>
          <bgColor rgb="FFDCE8DD"/>
        </patternFill>
      </fill>
    </dxf>
    <dxf>
      <font>
        <b/>
        <color rgb="FF315B3B"/>
      </font>
      <fill>
        <patternFill>
          <bgColor rgb="FFDCE8DD"/>
        </patternFill>
      </fill>
    </dxf>
    <dxf>
      <font>
        <b/>
        <color rgb="FF72766F"/>
      </font>
      <fill>
        <patternFill>
          <bgColor rgb="FFE9EBE7"/>
        </patternFill>
      </fill>
    </dxf>
    <dxf>
      <font>
        <b/>
        <color rgb="FF72766F"/>
      </font>
      <fill>
        <patternFill>
          <bgColor rgb="FFE9EBE7"/>
        </patternFill>
      </fill>
    </dxf>
    <dxf>
      <font>
        <b/>
        <color rgb="FFB14A3F"/>
      </font>
      <fill>
        <patternFill>
          <bgColor rgb="FFF6D6D0"/>
        </patternFill>
      </fill>
    </dxf>
    <dxf>
      <font>
        <b/>
        <color rgb="FFB14A3F"/>
      </font>
      <fill>
        <patternFill>
          <bgColor rgb="FFF6D6D0"/>
        </patternFill>
      </fill>
    </dxf>
    <dxf>
      <font>
        <b/>
        <color rgb="FF9A6A20"/>
      </font>
      <fill>
        <patternFill>
          <bgColor rgb="FFF5E7BC"/>
        </patternFill>
      </fill>
    </dxf>
    <dxf>
      <font>
        <b/>
        <color rgb="FF9A6A20"/>
      </font>
      <fill>
        <patternFill>
          <bgColor rgb="FFF5E7BC"/>
        </patternFill>
      </fill>
    </dxf>
    <dxf>
      <font>
        <b/>
        <color rgb="FF9A6A20"/>
      </font>
      <fill>
        <patternFill>
          <bgColor rgb="FFF5E7BC"/>
        </patternFill>
      </fill>
    </dxf>
    <dxf>
      <font>
        <b/>
        <color rgb="FF9A6A20"/>
      </font>
      <fill>
        <patternFill>
          <bgColor rgb="FFF5E7BC"/>
        </patternFill>
      </fill>
    </dxf>
    <dxf>
      <font>
        <b/>
        <color rgb="FF315B3B"/>
      </font>
      <fill>
        <patternFill>
          <bgColor rgb="FFDCE8DD"/>
        </patternFill>
      </fill>
    </dxf>
    <dxf>
      <font>
        <b/>
        <color rgb="FF315B3B"/>
      </font>
      <fill>
        <patternFill>
          <bgColor rgb="FFDCE8DD"/>
        </patternFill>
      </fill>
    </dxf>
    <dxf>
      <font>
        <b/>
        <color rgb="FF315B3B"/>
      </font>
      <fill>
        <patternFill>
          <bgColor rgb="FFDCE8DD"/>
        </patternFill>
      </fill>
    </dxf>
    <dxf>
      <font>
        <b/>
        <color rgb="FF315B3B"/>
      </font>
      <fill>
        <patternFill>
          <bgColor rgb="FFDCE8DD"/>
        </patternFill>
      </fill>
    </dxf>
    <dxf>
      <font>
        <b/>
        <color rgb="FF315B3B"/>
      </font>
      <fill>
        <patternFill>
          <bgColor rgb="FFDCE8DD"/>
        </patternFill>
      </fill>
    </dxf>
    <dxf>
      <font>
        <b/>
        <color rgb="FF72766F"/>
      </font>
      <fill>
        <patternFill>
          <bgColor rgb="FFE9EBE7"/>
        </patternFill>
      </fill>
    </dxf>
    <dxf>
      <font>
        <b/>
        <color rgb="FF72766F"/>
      </font>
      <fill>
        <patternFill>
          <bgColor rgb="FFE9EBE7"/>
        </patternFill>
      </fill>
    </dxf>
    <dxf>
      <font>
        <b/>
        <color rgb="FFB14A3F"/>
      </font>
      <fill>
        <patternFill>
          <bgColor rgb="FFF6D6D0"/>
        </patternFill>
      </fill>
    </dxf>
    <dxf>
      <font>
        <b/>
        <color rgb="FFB14A3F"/>
      </font>
      <fill>
        <patternFill>
          <bgColor rgb="FFF6D6D0"/>
        </patternFill>
      </fill>
    </dxf>
    <dxf>
      <font>
        <b/>
        <color rgb="FF9A6A20"/>
      </font>
      <fill>
        <patternFill>
          <bgColor rgb="FFF5E7BC"/>
        </patternFill>
      </fill>
    </dxf>
    <dxf>
      <font>
        <b/>
        <color rgb="FF9A6A20"/>
      </font>
      <fill>
        <patternFill>
          <bgColor rgb="FFF5E7BC"/>
        </patternFill>
      </fill>
    </dxf>
    <dxf>
      <font>
        <b/>
        <color rgb="FF9A6A20"/>
      </font>
      <fill>
        <patternFill>
          <bgColor rgb="FFF5E7BC"/>
        </patternFill>
      </fill>
    </dxf>
    <dxf>
      <font>
        <b/>
        <color rgb="FF9A6A20"/>
      </font>
      <fill>
        <patternFill>
          <bgColor rgb="FFF5E7BC"/>
        </patternFill>
      </fill>
    </dxf>
    <dxf>
      <font>
        <b/>
        <color rgb="FF315B3B"/>
      </font>
      <fill>
        <patternFill>
          <bgColor rgb="FFDCE8DD"/>
        </patternFill>
      </fill>
    </dxf>
    <dxf>
      <font>
        <b/>
        <color rgb="FF315B3B"/>
      </font>
      <fill>
        <patternFill>
          <bgColor rgb="FFDCE8DD"/>
        </patternFill>
      </fill>
    </dxf>
    <dxf>
      <font>
        <b/>
        <color rgb="FF315B3B"/>
      </font>
      <fill>
        <patternFill>
          <bgColor rgb="FFDCE8DD"/>
        </patternFill>
      </fill>
    </dxf>
    <dxf>
      <font>
        <b/>
        <color rgb="FF315B3B"/>
      </font>
      <fill>
        <patternFill>
          <bgColor rgb="FFDCE8DD"/>
        </patternFill>
      </fill>
    </dxf>
    <dxf>
      <font>
        <b/>
        <color rgb="FF315B3B"/>
      </font>
      <fill>
        <patternFill>
          <bgColor rgb="FFDCE8DD"/>
        </patternFill>
      </fill>
    </dxf>
    <dxf>
      <font>
        <b/>
        <color rgb="FF72766F"/>
      </font>
      <fill>
        <patternFill>
          <bgColor rgb="FFE9EBE7"/>
        </patternFill>
      </fill>
    </dxf>
    <dxf>
      <font>
        <b/>
        <color rgb="FF72766F"/>
      </font>
      <fill>
        <patternFill>
          <bgColor rgb="FFE9EBE7"/>
        </patternFill>
      </fill>
    </dxf>
    <dxf>
      <font>
        <b/>
        <color rgb="FFB14A3F"/>
      </font>
      <fill>
        <patternFill>
          <bgColor rgb="FFF6D6D0"/>
        </patternFill>
      </fill>
    </dxf>
    <dxf>
      <font>
        <b/>
        <color rgb="FFB14A3F"/>
      </font>
      <fill>
        <patternFill>
          <bgColor rgb="FFF6D6D0"/>
        </patternFill>
      </fill>
    </dxf>
    <dxf>
      <font>
        <b/>
        <color rgb="FF9A6A20"/>
      </font>
      <fill>
        <patternFill>
          <bgColor rgb="FFF5E7BC"/>
        </patternFill>
      </fill>
    </dxf>
    <dxf>
      <font>
        <b/>
        <color rgb="FF9A6A20"/>
      </font>
      <fill>
        <patternFill>
          <bgColor rgb="FFF5E7BC"/>
        </patternFill>
      </fill>
    </dxf>
    <dxf>
      <font>
        <b/>
        <color rgb="FF9A6A20"/>
      </font>
      <fill>
        <patternFill>
          <bgColor rgb="FFF5E7BC"/>
        </patternFill>
      </fill>
    </dxf>
    <dxf>
      <font>
        <b/>
        <color rgb="FF9A6A20"/>
      </font>
      <fill>
        <patternFill>
          <bgColor rgb="FFF5E7BC"/>
        </patternFill>
      </fill>
    </dxf>
    <dxf>
      <font>
        <b/>
        <color rgb="FF315B3B"/>
      </font>
      <fill>
        <patternFill>
          <bgColor rgb="FFDCE8DD"/>
        </patternFill>
      </fill>
    </dxf>
    <dxf>
      <font>
        <b/>
        <color rgb="FF315B3B"/>
      </font>
      <fill>
        <patternFill>
          <bgColor rgb="FFDCE8DD"/>
        </patternFill>
      </fill>
    </dxf>
    <dxf>
      <font>
        <b/>
        <color rgb="FF315B3B"/>
      </font>
      <fill>
        <patternFill>
          <bgColor rgb="FFDCE8DD"/>
        </patternFill>
      </fill>
    </dxf>
    <dxf>
      <font>
        <b/>
        <color rgb="FF315B3B"/>
      </font>
      <fill>
        <patternFill>
          <bgColor rgb="FFDCE8DD"/>
        </patternFill>
      </fill>
    </dxf>
    <dxf>
      <font>
        <b/>
        <color rgb="FF315B3B"/>
      </font>
      <fill>
        <patternFill>
          <bgColor rgb="FFDCE8DD"/>
        </patternFill>
      </fill>
    </dxf>
    <dxf>
      <font>
        <b/>
        <color rgb="FF72766F"/>
      </font>
      <fill>
        <patternFill>
          <bgColor rgb="FFE9EBE7"/>
        </patternFill>
      </fill>
    </dxf>
    <dxf>
      <font>
        <b/>
        <color rgb="FF72766F"/>
      </font>
      <fill>
        <patternFill>
          <bgColor rgb="FFE9EBE7"/>
        </patternFill>
      </fill>
    </dxf>
    <dxf>
      <font>
        <b/>
        <color rgb="FFB14A3F"/>
      </font>
      <fill>
        <patternFill>
          <bgColor rgb="FFF6D6D0"/>
        </patternFill>
      </fill>
    </dxf>
    <dxf>
      <font>
        <b/>
        <color rgb="FFB14A3F"/>
      </font>
      <fill>
        <patternFill>
          <bgColor rgb="FFF6D6D0"/>
        </patternFill>
      </fill>
    </dxf>
    <dxf>
      <font>
        <b/>
        <color rgb="FF9A6A20"/>
      </font>
      <fill>
        <patternFill>
          <bgColor rgb="FFF5E7BC"/>
        </patternFill>
      </fill>
    </dxf>
    <dxf>
      <font>
        <b/>
        <color rgb="FF9A6A20"/>
      </font>
      <fill>
        <patternFill>
          <bgColor rgb="FFF5E7BC"/>
        </patternFill>
      </fill>
    </dxf>
    <dxf>
      <font>
        <b/>
        <color rgb="FF9A6A20"/>
      </font>
      <fill>
        <patternFill>
          <bgColor rgb="FFF5E7BC"/>
        </patternFill>
      </fill>
    </dxf>
    <dxf>
      <font>
        <b/>
        <color rgb="FF9A6A20"/>
      </font>
      <fill>
        <patternFill>
          <bgColor rgb="FFF5E7BC"/>
        </patternFill>
      </fill>
    </dxf>
    <dxf>
      <font>
        <b/>
        <color rgb="FF315B3B"/>
      </font>
      <fill>
        <patternFill>
          <bgColor rgb="FFDCE8DD"/>
        </patternFill>
      </fill>
    </dxf>
    <dxf>
      <font>
        <b/>
        <color rgb="FF315B3B"/>
      </font>
      <fill>
        <patternFill>
          <bgColor rgb="FFDCE8DD"/>
        </patternFill>
      </fill>
    </dxf>
    <dxf>
      <font>
        <b/>
        <color rgb="FF315B3B"/>
      </font>
      <fill>
        <patternFill>
          <bgColor rgb="FFDCE8DD"/>
        </patternFill>
      </fill>
    </dxf>
    <dxf>
      <font>
        <b/>
        <color rgb="FF315B3B"/>
      </font>
      <fill>
        <patternFill>
          <bgColor rgb="FFDCE8DD"/>
        </patternFill>
      </fill>
    </dxf>
    <dxf>
      <font>
        <b/>
        <color rgb="FF315B3B"/>
      </font>
      <fill>
        <patternFill>
          <bgColor rgb="FFDCE8D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Baseline vs Actual / Forecast</a:t>
            </a:r>
          </a:p>
        </c:rich>
      </c:tx>
      <c:overlay val="0"/>
    </c:title>
    <c:autoTitleDeleted val="0"/>
    <c:plotArea>
      <c:layout/>
      <c:barChart>
        <c:barDir val="bar"/>
        <c:grouping val="clustered"/>
        <c:varyColors val="0"/>
        <c:ser>
          <c:idx val="0"/>
          <c:order val="0"/>
          <c:tx>
            <c:v>Baseline Budget</c:v>
          </c:tx>
          <c:invertIfNegative val="1"/>
          <c:cat>
            <c:strRef>
              <c:f>'Budget &amp; Forecast'!$A$11:$A$16</c:f>
              <c:strCache>
                <c:ptCount val="6"/>
                <c:pt idx="0">
                  <c:v>Emergency mitigation and water cleanup</c:v>
                </c:pt>
                <c:pt idx="1">
                  <c:v>Demo, drying verification, and structural repairs</c:v>
                </c:pt>
                <c:pt idx="2">
                  <c:v>Plumbing, electrical, and inspection work</c:v>
                </c:pt>
                <c:pt idx="3">
                  <c:v>Drywall, paint, and ceiling repairs</c:v>
                </c:pt>
                <c:pt idx="4">
                  <c:v>Flooring, cabinets, trim, and finish work</c:v>
                </c:pt>
                <c:pt idx="5">
                  <c:v>Contingency reserve</c:v>
                </c:pt>
              </c:strCache>
            </c:strRef>
          </c:cat>
          <c:val>
            <c:numRef>
              <c:f>'Budget &amp; Forecast'!$B$11:$B$16</c:f>
              <c:numCache>
                <c:formatCode>\$#,##0</c:formatCode>
                <c:ptCount val="6"/>
                <c:pt idx="0">
                  <c:v>26000</c:v>
                </c:pt>
                <c:pt idx="1">
                  <c:v>22000</c:v>
                </c:pt>
                <c:pt idx="2">
                  <c:v>30000</c:v>
                </c:pt>
                <c:pt idx="3">
                  <c:v>31000</c:v>
                </c:pt>
                <c:pt idx="4">
                  <c:v>48000</c:v>
                </c:pt>
                <c:pt idx="5">
                  <c:v>18000</c:v>
                </c:pt>
              </c:numCache>
            </c:numRef>
          </c:val>
          <c:extLst>
            <c:ext xmlns:c16="http://schemas.microsoft.com/office/drawing/2014/chart" uri="{C3380CC4-5D6E-409C-BE32-E72D297353CC}">
              <c16:uniqueId val="{00000000-56C1-0747-B071-24F264B96C96}"/>
            </c:ext>
          </c:extLst>
        </c:ser>
        <c:ser>
          <c:idx val="1"/>
          <c:order val="1"/>
          <c:tx>
            <c:v>Actual / Committed</c:v>
          </c:tx>
          <c:invertIfNegative val="1"/>
          <c:cat>
            <c:strRef>
              <c:f>'Budget &amp; Forecast'!$A$11:$A$16</c:f>
              <c:strCache>
                <c:ptCount val="6"/>
                <c:pt idx="0">
                  <c:v>Emergency mitigation and water cleanup</c:v>
                </c:pt>
                <c:pt idx="1">
                  <c:v>Demo, drying verification, and structural repairs</c:v>
                </c:pt>
                <c:pt idx="2">
                  <c:v>Plumbing, electrical, and inspection work</c:v>
                </c:pt>
                <c:pt idx="3">
                  <c:v>Drywall, paint, and ceiling repairs</c:v>
                </c:pt>
                <c:pt idx="4">
                  <c:v>Flooring, cabinets, trim, and finish work</c:v>
                </c:pt>
                <c:pt idx="5">
                  <c:v>Contingency reserve</c:v>
                </c:pt>
              </c:strCache>
            </c:strRef>
          </c:cat>
          <c:val>
            <c:numRef>
              <c:f>'Budget &amp; Forecast'!$C$11:$C$16</c:f>
              <c:numCache>
                <c:formatCode>\$#,##0</c:formatCode>
                <c:ptCount val="6"/>
                <c:pt idx="0">
                  <c:v>26000</c:v>
                </c:pt>
                <c:pt idx="1">
                  <c:v>14000</c:v>
                </c:pt>
                <c:pt idx="2">
                  <c:v>18000</c:v>
                </c:pt>
                <c:pt idx="3">
                  <c:v>5000</c:v>
                </c:pt>
                <c:pt idx="4">
                  <c:v>3000</c:v>
                </c:pt>
                <c:pt idx="5">
                  <c:v>0</c:v>
                </c:pt>
              </c:numCache>
            </c:numRef>
          </c:val>
          <c:extLst>
            <c:ext xmlns:c16="http://schemas.microsoft.com/office/drawing/2014/chart" uri="{C3380CC4-5D6E-409C-BE32-E72D297353CC}">
              <c16:uniqueId val="{00000001-56C1-0747-B071-24F264B96C96}"/>
            </c:ext>
          </c:extLst>
        </c:ser>
        <c:ser>
          <c:idx val="2"/>
          <c:order val="2"/>
          <c:tx>
            <c:v>Forecast at Completion</c:v>
          </c:tx>
          <c:invertIfNegative val="1"/>
          <c:cat>
            <c:strRef>
              <c:f>'Budget &amp; Forecast'!$A$11:$A$16</c:f>
              <c:strCache>
                <c:ptCount val="6"/>
                <c:pt idx="0">
                  <c:v>Emergency mitigation and water cleanup</c:v>
                </c:pt>
                <c:pt idx="1">
                  <c:v>Demo, drying verification, and structural repairs</c:v>
                </c:pt>
                <c:pt idx="2">
                  <c:v>Plumbing, electrical, and inspection work</c:v>
                </c:pt>
                <c:pt idx="3">
                  <c:v>Drywall, paint, and ceiling repairs</c:v>
                </c:pt>
                <c:pt idx="4">
                  <c:v>Flooring, cabinets, trim, and finish work</c:v>
                </c:pt>
                <c:pt idx="5">
                  <c:v>Contingency reserve</c:v>
                </c:pt>
              </c:strCache>
            </c:strRef>
          </c:cat>
          <c:val>
            <c:numRef>
              <c:f>'Budget &amp; Forecast'!$D$11:$D$16</c:f>
              <c:numCache>
                <c:formatCode>\$#,##0</c:formatCode>
                <c:ptCount val="6"/>
                <c:pt idx="0">
                  <c:v>26000</c:v>
                </c:pt>
                <c:pt idx="1">
                  <c:v>24000</c:v>
                </c:pt>
                <c:pt idx="2">
                  <c:v>34000</c:v>
                </c:pt>
                <c:pt idx="3">
                  <c:v>31000</c:v>
                </c:pt>
                <c:pt idx="4">
                  <c:v>52000</c:v>
                </c:pt>
                <c:pt idx="5">
                  <c:v>12000</c:v>
                </c:pt>
              </c:numCache>
            </c:numRef>
          </c:val>
          <c:extLst>
            <c:ext xmlns:c16="http://schemas.microsoft.com/office/drawing/2014/chart" uri="{C3380CC4-5D6E-409C-BE32-E72D297353CC}">
              <c16:uniqueId val="{00000002-56C1-0747-B071-24F264B96C96}"/>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b"/>
        <c:majorGridlines>
          <c:spPr>
            <a:ln w="9525">
              <a:solidFill>
                <a:srgbClr val="CCCCCC"/>
              </a:solidFill>
              <a:prstDash val="dash"/>
            </a:ln>
          </c:spPr>
        </c:majorGridlines>
        <c:numFmt formatCode="\$#,##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18</xdr:row>
      <xdr:rowOff>12700</xdr:rowOff>
    </xdr:from>
    <xdr:to>
      <xdr:col>9</xdr:col>
      <xdr:colOff>368300</xdr:colOff>
      <xdr:row>39</xdr:row>
      <xdr:rowOff>50800</xdr:rowOff>
    </xdr:to>
    <xdr:graphicFrame macro="">
      <xdr:nvGraphicFramePr>
        <xdr:cNvPr id="2" name="Chart">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42"/>
  <sheetViews>
    <sheetView showGridLines="0" tabSelected="1" zoomScale="70" zoomScaleNormal="70" workbookViewId="0">
      <selection sqref="A1:L42"/>
    </sheetView>
  </sheetViews>
  <sheetFormatPr baseColWidth="10" defaultColWidth="8.83203125" defaultRowHeight="15"/>
  <cols>
    <col min="1" max="5" width="18" customWidth="1"/>
    <col min="6" max="6" width="21" customWidth="1"/>
    <col min="7" max="11" width="18" customWidth="1"/>
    <col min="12" max="12" width="30" customWidth="1"/>
  </cols>
  <sheetData>
    <row r="1" spans="1:12" ht="55" customHeight="1">
      <c r="A1" s="18" t="s">
        <v>12</v>
      </c>
      <c r="B1" s="18"/>
      <c r="C1" s="18"/>
      <c r="D1" s="18"/>
      <c r="E1" s="18"/>
      <c r="F1" s="18"/>
      <c r="G1" s="18"/>
      <c r="H1" s="18"/>
      <c r="I1" s="18"/>
      <c r="J1" s="18"/>
      <c r="K1" s="18"/>
      <c r="L1" s="18"/>
    </row>
    <row r="2" spans="1:12" ht="39" customHeight="1">
      <c r="A2" s="22" t="s">
        <v>13</v>
      </c>
      <c r="B2" s="22"/>
      <c r="C2" s="22"/>
      <c r="D2" s="22"/>
      <c r="E2" s="22"/>
      <c r="F2" s="22"/>
      <c r="G2" s="22"/>
      <c r="H2" s="22"/>
      <c r="I2" s="22"/>
      <c r="J2" s="22"/>
      <c r="K2" s="22"/>
      <c r="L2" s="22"/>
    </row>
    <row r="3" spans="1:12" ht="9" customHeight="1">
      <c r="A3" s="6"/>
      <c r="B3" s="6"/>
      <c r="C3" s="6"/>
      <c r="D3" s="6"/>
      <c r="E3" s="6"/>
      <c r="F3" s="6"/>
      <c r="G3" s="6"/>
      <c r="H3" s="6"/>
      <c r="I3" s="6"/>
      <c r="J3" s="6"/>
      <c r="K3" s="6"/>
      <c r="L3" s="6"/>
    </row>
    <row r="4" spans="1:12">
      <c r="A4" s="11"/>
      <c r="B4" s="11"/>
      <c r="C4" s="11"/>
      <c r="D4" s="11"/>
      <c r="E4" s="11"/>
      <c r="F4" s="11"/>
      <c r="G4" s="11"/>
      <c r="H4" s="11"/>
      <c r="I4" s="11"/>
      <c r="J4" s="11"/>
      <c r="K4" s="11"/>
      <c r="L4" s="11"/>
    </row>
    <row r="5" spans="1:12" ht="32" customHeight="1">
      <c r="A5" s="1" t="s">
        <v>14</v>
      </c>
      <c r="B5" s="1"/>
      <c r="C5" s="1" t="s">
        <v>15</v>
      </c>
      <c r="D5" s="1"/>
      <c r="E5" s="1" t="s">
        <v>16</v>
      </c>
      <c r="F5" s="1"/>
      <c r="G5" s="1" t="s">
        <v>17</v>
      </c>
      <c r="H5" s="1"/>
      <c r="I5" s="1" t="s">
        <v>18</v>
      </c>
      <c r="J5" s="1"/>
      <c r="K5" s="1" t="s">
        <v>19</v>
      </c>
      <c r="L5" s="1"/>
    </row>
    <row r="6" spans="1:12" ht="49.75" customHeight="1">
      <c r="A6" s="2">
        <f>SUM('Work Packages'!$K$6:$K$20)/SUM('Work Packages'!$H$6:$H$20)</f>
        <v>0.373</v>
      </c>
      <c r="B6" s="2"/>
      <c r="C6" s="3" t="str">
        <f>IF(COUNTIF('Master Schedule'!$G$6:$G$20,"At Risk")&gt;0,"At Risk","On Track")</f>
        <v>At Risk</v>
      </c>
      <c r="D6" s="3"/>
      <c r="E6" s="2">
        <f>SUM('Budget &amp; Forecast'!$C$11:$C$16)/SUM('Budget &amp; Forecast'!$B$11:$B$16)</f>
        <v>0.37714285714285717</v>
      </c>
      <c r="F6" s="2"/>
      <c r="G6" s="3">
        <f>COUNTIF(RAIDD!$H$6:$H$15,"Open")+COUNTIF(RAIDD!$H$6:$H$15,"At Risk")</f>
        <v>8</v>
      </c>
      <c r="H6" s="3"/>
      <c r="I6" s="3" t="str">
        <f>"Week "&amp;MAX('Quality Gates'!$F$6:$F$12)</f>
        <v>Week 12</v>
      </c>
      <c r="J6" s="3"/>
      <c r="K6" s="3" t="str">
        <f>COUNTIF('Quality Gates'!$G$6:$G$12,"Complete")&amp;" of 7"</f>
        <v>1 of 7</v>
      </c>
      <c r="L6" s="3"/>
    </row>
    <row r="7" spans="1:12" ht="49.75" customHeight="1">
      <c r="A7" s="4" t="s">
        <v>20</v>
      </c>
      <c r="B7" s="4"/>
      <c r="C7" s="4" t="s">
        <v>21</v>
      </c>
      <c r="D7" s="4"/>
      <c r="E7" s="4" t="s">
        <v>22</v>
      </c>
      <c r="F7" s="4"/>
      <c r="G7" s="4" t="s">
        <v>23</v>
      </c>
      <c r="H7" s="4"/>
      <c r="I7" s="4" t="s">
        <v>24</v>
      </c>
      <c r="J7" s="4"/>
      <c r="K7" s="4" t="s">
        <v>25</v>
      </c>
      <c r="L7" s="4"/>
    </row>
    <row r="8" spans="1:12">
      <c r="A8" s="11"/>
      <c r="B8" s="11"/>
      <c r="C8" s="11"/>
      <c r="D8" s="11"/>
      <c r="E8" s="11"/>
      <c r="F8" s="11"/>
      <c r="G8" s="11"/>
      <c r="H8" s="11"/>
      <c r="I8" s="11"/>
      <c r="J8" s="11"/>
      <c r="K8" s="11"/>
      <c r="L8" s="11"/>
    </row>
    <row r="9" spans="1:12">
      <c r="A9" s="11"/>
      <c r="B9" s="11"/>
      <c r="C9" s="11"/>
      <c r="D9" s="11"/>
      <c r="E9" s="11"/>
      <c r="F9" s="11"/>
      <c r="G9" s="11"/>
      <c r="H9" s="11"/>
      <c r="I9" s="11"/>
      <c r="J9" s="11"/>
      <c r="K9" s="11"/>
      <c r="L9" s="11"/>
    </row>
    <row r="10" spans="1:12" ht="39" customHeight="1">
      <c r="A10" s="7" t="s">
        <v>26</v>
      </c>
      <c r="B10" s="7"/>
      <c r="C10" s="7"/>
      <c r="D10" s="7"/>
      <c r="E10" s="7"/>
      <c r="F10" s="7"/>
      <c r="G10" s="7" t="s">
        <v>27</v>
      </c>
      <c r="H10" s="7"/>
      <c r="I10" s="7"/>
      <c r="J10" s="7"/>
      <c r="K10" s="7"/>
      <c r="L10" s="7"/>
    </row>
    <row r="11" spans="1:12">
      <c r="A11" s="9" t="s">
        <v>28</v>
      </c>
      <c r="B11" s="9"/>
      <c r="C11" s="9"/>
      <c r="D11" s="9"/>
      <c r="E11" s="9"/>
      <c r="F11" s="9"/>
      <c r="G11" s="12" t="s">
        <v>29</v>
      </c>
      <c r="H11" s="12"/>
      <c r="I11" s="12"/>
      <c r="J11" s="12"/>
      <c r="K11" s="12"/>
      <c r="L11" s="12"/>
    </row>
    <row r="12" spans="1:12">
      <c r="A12" s="9"/>
      <c r="B12" s="9"/>
      <c r="C12" s="9"/>
      <c r="D12" s="9"/>
      <c r="E12" s="9"/>
      <c r="F12" s="9"/>
      <c r="G12" s="12"/>
      <c r="H12" s="12"/>
      <c r="I12" s="12"/>
      <c r="J12" s="12"/>
      <c r="K12" s="12"/>
      <c r="L12" s="12"/>
    </row>
    <row r="13" spans="1:12">
      <c r="A13" s="9"/>
      <c r="B13" s="9"/>
      <c r="C13" s="9"/>
      <c r="D13" s="9"/>
      <c r="E13" s="9"/>
      <c r="F13" s="9"/>
      <c r="G13" s="12"/>
      <c r="H13" s="12"/>
      <c r="I13" s="12"/>
      <c r="J13" s="12"/>
      <c r="K13" s="12"/>
      <c r="L13" s="12"/>
    </row>
    <row r="14" spans="1:12">
      <c r="A14" s="9"/>
      <c r="B14" s="9"/>
      <c r="C14" s="9"/>
      <c r="D14" s="9"/>
      <c r="E14" s="9"/>
      <c r="F14" s="9"/>
      <c r="G14" s="12"/>
      <c r="H14" s="12"/>
      <c r="I14" s="12"/>
      <c r="J14" s="12"/>
      <c r="K14" s="12"/>
      <c r="L14" s="12"/>
    </row>
    <row r="15" spans="1:12">
      <c r="A15" s="9"/>
      <c r="B15" s="9"/>
      <c r="C15" s="9"/>
      <c r="D15" s="9"/>
      <c r="E15" s="9"/>
      <c r="F15" s="9"/>
      <c r="G15" s="12"/>
      <c r="H15" s="12"/>
      <c r="I15" s="12"/>
      <c r="J15" s="12"/>
      <c r="K15" s="12"/>
      <c r="L15" s="12"/>
    </row>
    <row r="16" spans="1:12">
      <c r="A16" s="11"/>
      <c r="B16" s="11"/>
      <c r="C16" s="11"/>
      <c r="D16" s="11"/>
      <c r="E16" s="11"/>
      <c r="F16" s="11"/>
      <c r="G16" s="11"/>
      <c r="H16" s="11"/>
      <c r="I16" s="11"/>
      <c r="J16" s="11"/>
      <c r="K16" s="11"/>
      <c r="L16" s="11"/>
    </row>
    <row r="17" spans="1:12" ht="39" customHeight="1">
      <c r="A17" s="7" t="s">
        <v>30</v>
      </c>
      <c r="B17" s="7"/>
      <c r="C17" s="7"/>
      <c r="D17" s="7"/>
      <c r="E17" s="7"/>
      <c r="F17" s="7"/>
      <c r="G17" s="7" t="s">
        <v>31</v>
      </c>
      <c r="H17" s="7"/>
      <c r="I17" s="7"/>
      <c r="J17" s="7"/>
      <c r="K17" s="7"/>
      <c r="L17" s="7"/>
    </row>
    <row r="18" spans="1:12" ht="67.75" customHeight="1">
      <c r="A18" s="5" t="s">
        <v>32</v>
      </c>
      <c r="B18" s="5" t="s">
        <v>33</v>
      </c>
      <c r="C18" s="5" t="s">
        <v>5</v>
      </c>
      <c r="D18" s="5" t="s">
        <v>9</v>
      </c>
      <c r="E18" s="5" t="s">
        <v>34</v>
      </c>
      <c r="F18" s="5" t="s">
        <v>8</v>
      </c>
      <c r="G18" s="5" t="s">
        <v>35</v>
      </c>
      <c r="H18" s="5" t="s">
        <v>36</v>
      </c>
      <c r="I18" s="5" t="s">
        <v>37</v>
      </c>
      <c r="J18" s="5" t="s">
        <v>38</v>
      </c>
      <c r="K18" s="5" t="s">
        <v>39</v>
      </c>
      <c r="L18" s="5" t="s">
        <v>40</v>
      </c>
    </row>
    <row r="19" spans="1:12" ht="67.75" customHeight="1">
      <c r="A19" s="8" t="s">
        <v>41</v>
      </c>
      <c r="B19" s="8" t="s">
        <v>42</v>
      </c>
      <c r="C19" s="8" t="s">
        <v>43</v>
      </c>
      <c r="D19" s="8" t="s">
        <v>44</v>
      </c>
      <c r="E19" s="8" t="s">
        <v>45</v>
      </c>
      <c r="F19" s="8" t="s">
        <v>1</v>
      </c>
      <c r="G19" s="8" t="s">
        <v>46</v>
      </c>
      <c r="H19" s="8" t="s">
        <v>47</v>
      </c>
      <c r="I19" s="8" t="s">
        <v>47</v>
      </c>
      <c r="J19" s="8" t="s">
        <v>48</v>
      </c>
      <c r="K19" s="8" t="s">
        <v>1</v>
      </c>
      <c r="L19" s="8" t="s">
        <v>49</v>
      </c>
    </row>
    <row r="20" spans="1:12" ht="67.75" customHeight="1">
      <c r="A20" s="8" t="s">
        <v>50</v>
      </c>
      <c r="B20" s="8" t="s">
        <v>51</v>
      </c>
      <c r="C20" s="8" t="s">
        <v>43</v>
      </c>
      <c r="D20" s="8" t="s">
        <v>52</v>
      </c>
      <c r="E20" s="8" t="s">
        <v>53</v>
      </c>
      <c r="F20" s="8" t="s">
        <v>2</v>
      </c>
      <c r="G20" s="8" t="s">
        <v>54</v>
      </c>
      <c r="H20" s="8" t="s">
        <v>55</v>
      </c>
      <c r="I20" s="8" t="s">
        <v>55</v>
      </c>
      <c r="J20" s="8" t="s">
        <v>56</v>
      </c>
      <c r="K20" s="8" t="s">
        <v>2</v>
      </c>
      <c r="L20" s="8" t="s">
        <v>57</v>
      </c>
    </row>
    <row r="21" spans="1:12" ht="67.75" customHeight="1">
      <c r="A21" s="8" t="s">
        <v>58</v>
      </c>
      <c r="B21" s="8" t="s">
        <v>59</v>
      </c>
      <c r="C21" s="8" t="s">
        <v>60</v>
      </c>
      <c r="D21" s="8" t="s">
        <v>61</v>
      </c>
      <c r="E21" s="8" t="s">
        <v>62</v>
      </c>
      <c r="F21" s="8" t="s">
        <v>1</v>
      </c>
      <c r="G21" s="8" t="s">
        <v>63</v>
      </c>
      <c r="H21" s="8" t="s">
        <v>64</v>
      </c>
      <c r="I21" s="8" t="s">
        <v>64</v>
      </c>
      <c r="J21" s="8" t="s">
        <v>65</v>
      </c>
      <c r="K21" s="8" t="s">
        <v>1</v>
      </c>
      <c r="L21" s="8" t="s">
        <v>66</v>
      </c>
    </row>
    <row r="22" spans="1:12" ht="67.75" customHeight="1">
      <c r="A22" s="8" t="s">
        <v>67</v>
      </c>
      <c r="B22" s="8" t="s">
        <v>68</v>
      </c>
      <c r="C22" s="8" t="s">
        <v>43</v>
      </c>
      <c r="D22" s="8" t="s">
        <v>69</v>
      </c>
      <c r="E22" s="8" t="s">
        <v>70</v>
      </c>
      <c r="F22" s="8" t="s">
        <v>1</v>
      </c>
      <c r="G22" s="8" t="s">
        <v>71</v>
      </c>
      <c r="H22" s="8" t="s">
        <v>72</v>
      </c>
      <c r="I22" s="8" t="s">
        <v>72</v>
      </c>
      <c r="J22" s="8" t="s">
        <v>73</v>
      </c>
      <c r="K22" s="8" t="s">
        <v>74</v>
      </c>
      <c r="L22" s="8" t="s">
        <v>75</v>
      </c>
    </row>
    <row r="23" spans="1:12" ht="67.75" customHeight="1">
      <c r="A23" s="8" t="s">
        <v>76</v>
      </c>
      <c r="B23" s="8" t="s">
        <v>77</v>
      </c>
      <c r="C23" s="8" t="s">
        <v>43</v>
      </c>
      <c r="D23" s="8" t="s">
        <v>78</v>
      </c>
      <c r="E23" s="8" t="s">
        <v>79</v>
      </c>
      <c r="F23" s="8" t="s">
        <v>3</v>
      </c>
      <c r="G23" s="8" t="s">
        <v>80</v>
      </c>
      <c r="H23" s="8" t="s">
        <v>81</v>
      </c>
      <c r="I23" s="8" t="s">
        <v>81</v>
      </c>
      <c r="J23" s="8" t="s">
        <v>82</v>
      </c>
      <c r="K23" s="8" t="s">
        <v>3</v>
      </c>
      <c r="L23" s="8" t="s">
        <v>83</v>
      </c>
    </row>
    <row r="24" spans="1:12">
      <c r="A24" s="11"/>
      <c r="B24" s="11"/>
      <c r="C24" s="11"/>
      <c r="D24" s="11"/>
      <c r="E24" s="11"/>
      <c r="F24" s="11"/>
      <c r="G24" s="11"/>
      <c r="H24" s="11"/>
      <c r="I24" s="11"/>
      <c r="J24" s="11"/>
      <c r="K24" s="11"/>
      <c r="L24" s="11"/>
    </row>
    <row r="25" spans="1:12">
      <c r="A25" s="11"/>
      <c r="B25" s="11"/>
      <c r="C25" s="11"/>
      <c r="D25" s="11"/>
      <c r="E25" s="11"/>
      <c r="F25" s="11"/>
      <c r="G25" s="11"/>
      <c r="H25" s="11"/>
      <c r="I25" s="11"/>
      <c r="J25" s="11"/>
      <c r="K25" s="11"/>
      <c r="L25" s="11"/>
    </row>
    <row r="26" spans="1:12" ht="39" customHeight="1">
      <c r="A26" s="7" t="s">
        <v>84</v>
      </c>
      <c r="B26" s="7"/>
      <c r="C26" s="7"/>
      <c r="D26" s="7"/>
      <c r="E26" s="7" t="s">
        <v>85</v>
      </c>
      <c r="F26" s="7"/>
      <c r="G26" s="7"/>
      <c r="H26" s="7"/>
      <c r="I26" s="7"/>
      <c r="J26" s="7"/>
      <c r="K26" s="7"/>
      <c r="L26" s="7"/>
    </row>
    <row r="27" spans="1:12" ht="49.75" customHeight="1">
      <c r="A27" s="5" t="s">
        <v>8</v>
      </c>
      <c r="B27" s="5" t="s">
        <v>86</v>
      </c>
      <c r="C27" s="11"/>
      <c r="D27" s="11"/>
      <c r="E27" s="5" t="s">
        <v>87</v>
      </c>
      <c r="F27" s="5" t="s">
        <v>88</v>
      </c>
      <c r="G27" s="11"/>
      <c r="H27" s="11"/>
      <c r="I27" s="11"/>
      <c r="J27" s="11"/>
      <c r="K27" s="11"/>
      <c r="L27" s="11"/>
    </row>
    <row r="28" spans="1:12" ht="49.75" customHeight="1">
      <c r="A28" s="8" t="s">
        <v>0</v>
      </c>
      <c r="B28" s="8">
        <f>COUNTIF('Work Packages'!$I$6:$I$20,"Complete")</f>
        <v>3</v>
      </c>
      <c r="C28" s="11"/>
      <c r="D28" s="11"/>
      <c r="E28" s="8" t="s">
        <v>89</v>
      </c>
      <c r="F28" s="9" t="s">
        <v>90</v>
      </c>
      <c r="G28" s="9"/>
      <c r="H28" s="9"/>
      <c r="I28" s="9"/>
      <c r="J28" s="9"/>
      <c r="K28" s="9"/>
      <c r="L28" s="9"/>
    </row>
    <row r="29" spans="1:12" ht="49.75" customHeight="1">
      <c r="A29" s="8" t="s">
        <v>1</v>
      </c>
      <c r="B29" s="8">
        <f>COUNTIF('Work Packages'!$I$6:$I$20,"In Progress")</f>
        <v>4</v>
      </c>
      <c r="C29" s="11"/>
      <c r="D29" s="11"/>
      <c r="E29" s="8" t="s">
        <v>91</v>
      </c>
      <c r="F29" s="9" t="s">
        <v>92</v>
      </c>
      <c r="G29" s="9"/>
      <c r="H29" s="9"/>
      <c r="I29" s="9"/>
      <c r="J29" s="9"/>
      <c r="K29" s="9"/>
      <c r="L29" s="9"/>
    </row>
    <row r="30" spans="1:12" ht="49.75" customHeight="1">
      <c r="A30" s="8" t="s">
        <v>2</v>
      </c>
      <c r="B30" s="8">
        <f>COUNTIF('Work Packages'!$I$6:$I$20,"At Risk")</f>
        <v>2</v>
      </c>
      <c r="C30" s="11"/>
      <c r="D30" s="11"/>
      <c r="E30" s="8" t="s">
        <v>93</v>
      </c>
      <c r="F30" s="9" t="s">
        <v>94</v>
      </c>
      <c r="G30" s="9"/>
      <c r="H30" s="9"/>
      <c r="I30" s="9"/>
      <c r="J30" s="9"/>
      <c r="K30" s="9"/>
      <c r="L30" s="9"/>
    </row>
    <row r="31" spans="1:12" ht="49.75" customHeight="1">
      <c r="A31" s="8" t="s">
        <v>3</v>
      </c>
      <c r="B31" s="8">
        <f>COUNTIF('Work Packages'!$I$6:$I$20,"Not Started")</f>
        <v>6</v>
      </c>
      <c r="C31" s="11"/>
      <c r="D31" s="11"/>
      <c r="E31" s="8" t="s">
        <v>95</v>
      </c>
      <c r="F31" s="9" t="s">
        <v>96</v>
      </c>
      <c r="G31" s="9"/>
      <c r="H31" s="9"/>
      <c r="I31" s="9"/>
      <c r="J31" s="9"/>
      <c r="K31" s="9"/>
      <c r="L31" s="9"/>
    </row>
    <row r="32" spans="1:12" ht="49.75" customHeight="1">
      <c r="A32" s="11"/>
      <c r="B32" s="11"/>
      <c r="C32" s="11"/>
      <c r="D32" s="11"/>
      <c r="E32" s="8" t="s">
        <v>97</v>
      </c>
      <c r="F32" s="9" t="s">
        <v>98</v>
      </c>
      <c r="G32" s="9"/>
      <c r="H32" s="9"/>
      <c r="I32" s="9"/>
      <c r="J32" s="9"/>
      <c r="K32" s="9"/>
      <c r="L32" s="9"/>
    </row>
    <row r="33" spans="1:12" ht="49.75" customHeight="1">
      <c r="A33" s="7" t="s">
        <v>99</v>
      </c>
      <c r="B33" s="7"/>
      <c r="C33" s="7"/>
      <c r="D33" s="7"/>
      <c r="E33" s="8" t="s">
        <v>100</v>
      </c>
      <c r="F33" s="9" t="s">
        <v>101</v>
      </c>
      <c r="G33" s="9"/>
      <c r="H33" s="9"/>
      <c r="I33" s="9"/>
      <c r="J33" s="9"/>
      <c r="K33" s="9"/>
      <c r="L33" s="9"/>
    </row>
    <row r="34" spans="1:12" ht="49.75" customHeight="1">
      <c r="A34" s="5" t="s">
        <v>102</v>
      </c>
      <c r="B34" s="5" t="s">
        <v>103</v>
      </c>
      <c r="C34" s="11"/>
      <c r="D34" s="11"/>
      <c r="E34" s="8" t="s">
        <v>104</v>
      </c>
      <c r="F34" s="9" t="s">
        <v>105</v>
      </c>
      <c r="G34" s="9"/>
      <c r="H34" s="9"/>
      <c r="I34" s="9"/>
      <c r="J34" s="9"/>
      <c r="K34" s="9"/>
      <c r="L34" s="9"/>
    </row>
    <row r="35" spans="1:12" ht="49.75" customHeight="1">
      <c r="A35" s="8" t="s">
        <v>106</v>
      </c>
      <c r="B35" s="10">
        <f>SUM('Budget &amp; Forecast'!$B$11:$B$16)</f>
        <v>175000</v>
      </c>
      <c r="C35" s="11"/>
      <c r="D35" s="11"/>
      <c r="E35" s="8" t="s">
        <v>107</v>
      </c>
      <c r="F35" s="9" t="s">
        <v>108</v>
      </c>
      <c r="G35" s="9"/>
      <c r="H35" s="9"/>
      <c r="I35" s="9"/>
      <c r="J35" s="9"/>
      <c r="K35" s="9"/>
      <c r="L35" s="9"/>
    </row>
    <row r="36" spans="1:12" ht="49.75" customHeight="1">
      <c r="A36" s="8" t="s">
        <v>109</v>
      </c>
      <c r="B36" s="10">
        <f>SUM('Budget &amp; Forecast'!$C$11:$C$16)</f>
        <v>66000</v>
      </c>
      <c r="C36" s="11"/>
      <c r="D36" s="11"/>
      <c r="E36" s="8" t="s">
        <v>110</v>
      </c>
      <c r="F36" s="9" t="s">
        <v>111</v>
      </c>
      <c r="G36" s="9"/>
      <c r="H36" s="9"/>
      <c r="I36" s="9"/>
      <c r="J36" s="9"/>
      <c r="K36" s="9"/>
      <c r="L36" s="9"/>
    </row>
    <row r="37" spans="1:12" ht="32">
      <c r="A37" s="8" t="s">
        <v>112</v>
      </c>
      <c r="B37" s="10">
        <f>SUM('Budget &amp; Forecast'!$D$11:$D$16)</f>
        <v>179000</v>
      </c>
      <c r="C37" s="11"/>
      <c r="D37" s="11"/>
      <c r="E37" s="11"/>
      <c r="F37" s="11"/>
      <c r="G37" s="11"/>
      <c r="H37" s="11"/>
      <c r="I37" s="11"/>
      <c r="J37" s="11"/>
      <c r="K37" s="11"/>
      <c r="L37" s="11"/>
    </row>
    <row r="38" spans="1:12" ht="16">
      <c r="A38" s="8" t="s">
        <v>113</v>
      </c>
      <c r="B38" s="10">
        <f>B37-B36</f>
        <v>113000</v>
      </c>
      <c r="C38" s="11"/>
      <c r="D38" s="11"/>
      <c r="E38" s="11"/>
      <c r="F38" s="11"/>
      <c r="G38" s="11"/>
      <c r="H38" s="11"/>
      <c r="I38" s="11"/>
      <c r="J38" s="11"/>
      <c r="K38" s="11"/>
      <c r="L38" s="11"/>
    </row>
    <row r="39" spans="1:12">
      <c r="A39" s="11"/>
      <c r="B39" s="11"/>
      <c r="C39" s="11"/>
      <c r="D39" s="11"/>
      <c r="E39" s="11"/>
      <c r="F39" s="11"/>
      <c r="G39" s="11"/>
      <c r="H39" s="11"/>
      <c r="I39" s="11"/>
      <c r="J39" s="11"/>
      <c r="K39" s="11"/>
      <c r="L39" s="11"/>
    </row>
    <row r="40" spans="1:12">
      <c r="A40" s="11"/>
      <c r="B40" s="11"/>
      <c r="C40" s="11"/>
      <c r="D40" s="11"/>
      <c r="E40" s="11"/>
      <c r="F40" s="11"/>
      <c r="G40" s="11"/>
      <c r="H40" s="11"/>
      <c r="I40" s="11"/>
      <c r="J40" s="11"/>
      <c r="K40" s="11"/>
      <c r="L40" s="11"/>
    </row>
    <row r="41" spans="1:12">
      <c r="A41" s="11"/>
      <c r="B41" s="11"/>
      <c r="C41" s="11"/>
      <c r="D41" s="11"/>
      <c r="E41" s="11"/>
      <c r="F41" s="11"/>
      <c r="G41" s="11"/>
      <c r="H41" s="11"/>
      <c r="I41" s="11"/>
      <c r="J41" s="11"/>
      <c r="K41" s="11"/>
      <c r="L41" s="11"/>
    </row>
    <row r="42" spans="1:12" ht="32" customHeight="1">
      <c r="A42" s="21" t="s">
        <v>114</v>
      </c>
      <c r="B42" s="21"/>
      <c r="C42" s="21"/>
      <c r="D42" s="21"/>
      <c r="E42" s="21"/>
      <c r="F42" s="21"/>
      <c r="G42" s="21"/>
      <c r="H42" s="21"/>
      <c r="I42" s="21"/>
      <c r="J42" s="21"/>
      <c r="K42" s="21"/>
      <c r="L42" s="21"/>
    </row>
  </sheetData>
  <mergeCells count="40">
    <mergeCell ref="F34:L34"/>
    <mergeCell ref="F35:L35"/>
    <mergeCell ref="F36:L36"/>
    <mergeCell ref="A26:D26"/>
    <mergeCell ref="A33:D33"/>
    <mergeCell ref="E26:L26"/>
    <mergeCell ref="F28:L28"/>
    <mergeCell ref="F29:L29"/>
    <mergeCell ref="F30:L30"/>
    <mergeCell ref="F31:L31"/>
    <mergeCell ref="F32:L32"/>
    <mergeCell ref="F33:L33"/>
    <mergeCell ref="A10:F10"/>
    <mergeCell ref="A11:F15"/>
    <mergeCell ref="G10:L10"/>
    <mergeCell ref="G11:L15"/>
    <mergeCell ref="A17:F17"/>
    <mergeCell ref="G17:L17"/>
    <mergeCell ref="I5:J5"/>
    <mergeCell ref="I6:J6"/>
    <mergeCell ref="I7:J7"/>
    <mergeCell ref="K5:L5"/>
    <mergeCell ref="K6:L6"/>
    <mergeCell ref="K7:L7"/>
    <mergeCell ref="A1:L1"/>
    <mergeCell ref="A2:L2"/>
    <mergeCell ref="A3:L3"/>
    <mergeCell ref="A42:L42"/>
    <mergeCell ref="A5:B5"/>
    <mergeCell ref="A6:B6"/>
    <mergeCell ref="A7:B7"/>
    <mergeCell ref="C5:D5"/>
    <mergeCell ref="C6:D6"/>
    <mergeCell ref="C7:D7"/>
    <mergeCell ref="E5:F5"/>
    <mergeCell ref="E6:F6"/>
    <mergeCell ref="E7:F7"/>
    <mergeCell ref="G5:H5"/>
    <mergeCell ref="G6:H6"/>
    <mergeCell ref="G7:H7"/>
  </mergeCells>
  <conditionalFormatting sqref="A28:A31">
    <cfRule type="expression" dxfId="149" priority="27">
      <formula>A28="Complete"</formula>
    </cfRule>
    <cfRule type="expression" dxfId="148" priority="28">
      <formula>A28="On Track"</formula>
    </cfRule>
    <cfRule type="expression" dxfId="147" priority="29">
      <formula>A28="Approved"</formula>
    </cfRule>
    <cfRule type="expression" dxfId="146" priority="30">
      <formula>A28="Confirmed"</formula>
    </cfRule>
    <cfRule type="expression" dxfId="145" priority="31">
      <formula>A28="Available"</formula>
    </cfRule>
    <cfRule type="expression" dxfId="144" priority="32">
      <formula>A28="In Progress"</formula>
    </cfRule>
    <cfRule type="expression" dxfId="143" priority="33">
      <formula>A28="Watch"</formula>
    </cfRule>
    <cfRule type="expression" dxfId="142" priority="34">
      <formula>A28="Pending"</formula>
    </cfRule>
    <cfRule type="expression" dxfId="141" priority="35">
      <formula>A28="Open"</formula>
    </cfRule>
    <cfRule type="expression" dxfId="140" priority="36">
      <formula>A28="At Risk"</formula>
    </cfRule>
    <cfRule type="expression" dxfId="139" priority="37">
      <formula>A28="Critical"</formula>
    </cfRule>
    <cfRule type="expression" dxfId="138" priority="38">
      <formula>A28="Not Started"</formula>
    </cfRule>
    <cfRule type="expression" dxfId="137" priority="39">
      <formula>A28="In Review"</formula>
    </cfRule>
  </conditionalFormatting>
  <conditionalFormatting sqref="B28:B31">
    <cfRule type="dataBar" priority="40">
      <dataBar>
        <cfvo type="min"/>
        <cfvo type="max"/>
        <color rgb="FFB4873E"/>
      </dataBar>
    </cfRule>
    <cfRule type="dataBar" priority="41">
      <dataBar>
        <cfvo type="min"/>
        <cfvo type="max"/>
        <color rgb="FFB4873E"/>
      </dataBar>
    </cfRule>
    <cfRule type="dataBar" priority="42">
      <dataBar>
        <cfvo type="min"/>
        <cfvo type="max"/>
        <color rgb="FFB4873E"/>
      </dataBar>
      <extLst>
        <ext xmlns:x14="http://schemas.microsoft.com/office/spreadsheetml/2009/9/main" uri="{B025F937-C7B1-47D3-B67F-A62EFF666E3E}">
          <x14:id>{7092003B-33F4-6CB2-F316-E829576CC42D}</x14:id>
        </ext>
      </extLst>
    </cfRule>
  </conditionalFormatting>
  <conditionalFormatting sqref="F19:F23">
    <cfRule type="expression" dxfId="136" priority="1">
      <formula>F19="Complete"</formula>
    </cfRule>
    <cfRule type="expression" dxfId="135" priority="2">
      <formula>F19="On Track"</formula>
    </cfRule>
    <cfRule type="expression" dxfId="134" priority="3">
      <formula>F19="Approved"</formula>
    </cfRule>
    <cfRule type="expression" dxfId="133" priority="4">
      <formula>F19="Confirmed"</formula>
    </cfRule>
    <cfRule type="expression" dxfId="132" priority="5">
      <formula>F19="Available"</formula>
    </cfRule>
    <cfRule type="expression" dxfId="131" priority="6">
      <formula>F19="In Progress"</formula>
    </cfRule>
    <cfRule type="expression" dxfId="130" priority="7">
      <formula>F19="Watch"</formula>
    </cfRule>
    <cfRule type="expression" dxfId="129" priority="8">
      <formula>F19="Pending"</formula>
    </cfRule>
    <cfRule type="expression" dxfId="128" priority="9">
      <formula>F19="Open"</formula>
    </cfRule>
    <cfRule type="expression" dxfId="127" priority="10">
      <formula>F19="At Risk"</formula>
    </cfRule>
    <cfRule type="expression" dxfId="126" priority="11">
      <formula>F19="Critical"</formula>
    </cfRule>
    <cfRule type="expression" dxfId="125" priority="12">
      <formula>F19="Not Started"</formula>
    </cfRule>
    <cfRule type="expression" dxfId="124" priority="13">
      <formula>F19="In Review"</formula>
    </cfRule>
  </conditionalFormatting>
  <conditionalFormatting sqref="K19:K23">
    <cfRule type="expression" dxfId="123" priority="14">
      <formula>K19="Complete"</formula>
    </cfRule>
    <cfRule type="expression" dxfId="122" priority="15">
      <formula>K19="On Track"</formula>
    </cfRule>
    <cfRule type="expression" dxfId="121" priority="16">
      <formula>K19="Approved"</formula>
    </cfRule>
    <cfRule type="expression" dxfId="120" priority="17">
      <formula>K19="Confirmed"</formula>
    </cfRule>
    <cfRule type="expression" dxfId="119" priority="18">
      <formula>K19="Available"</formula>
    </cfRule>
    <cfRule type="expression" dxfId="118" priority="19">
      <formula>K19="In Progress"</formula>
    </cfRule>
    <cfRule type="expression" dxfId="117" priority="20">
      <formula>K19="Watch"</formula>
    </cfRule>
    <cfRule type="expression" dxfId="116" priority="21">
      <formula>K19="Pending"</formula>
    </cfRule>
    <cfRule type="expression" dxfId="115" priority="22">
      <formula>K19="Open"</formula>
    </cfRule>
    <cfRule type="expression" dxfId="114" priority="23">
      <formula>K19="At Risk"</formula>
    </cfRule>
    <cfRule type="expression" dxfId="113" priority="24">
      <formula>K19="Critical"</formula>
    </cfRule>
    <cfRule type="expression" dxfId="112" priority="25">
      <formula>K19="Not Started"</formula>
    </cfRule>
    <cfRule type="expression" dxfId="111" priority="26">
      <formula>K19="In Review"</formula>
    </cfRule>
  </conditionalFormatting>
  <pageMargins left="0.7" right="0.7" top="0.75" bottom="0.75" header="0.3" footer="0.3"/>
  <pageSetup scale="36" orientation="portrait" horizontalDpi="0" verticalDpi="0"/>
  <extLst>
    <ext xmlns:x14="http://schemas.microsoft.com/office/spreadsheetml/2009/9/main" uri="{78C0D931-6437-407d-A8EE-F0AAD7539E65}">
      <x14:conditionalFormattings>
        <x14:conditionalFormatting xmlns:xm="http://schemas.microsoft.com/office/excel/2006/main">
          <x14:cfRule type="dataBar" id="{7092003B-33F4-6CB2-F316-E829576CC42D}">
            <x14:dataBar>
              <x14:cfvo type="min"/>
              <x14:cfvo type="max"/>
              <x14:negativeFillColor auto="1"/>
              <x14:axisColor auto="1"/>
            </x14:dataBar>
          </x14:cfRule>
          <xm:sqref>B28:B31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K30"/>
  <sheetViews>
    <sheetView showGridLines="0" workbookViewId="0">
      <selection sqref="A1:K30"/>
    </sheetView>
  </sheetViews>
  <sheetFormatPr baseColWidth="10" defaultColWidth="8.83203125" defaultRowHeight="15"/>
  <cols>
    <col min="1" max="1" width="20" customWidth="1"/>
    <col min="2" max="2" width="23" customWidth="1"/>
    <col min="3" max="3" width="25" customWidth="1"/>
    <col min="4" max="4" width="18" customWidth="1"/>
    <col min="5" max="5" width="34" customWidth="1"/>
    <col min="6" max="6" width="3" customWidth="1"/>
    <col min="7" max="7" width="20" customWidth="1"/>
    <col min="8" max="8" width="23" customWidth="1"/>
    <col min="9" max="9" width="25" customWidth="1"/>
    <col min="10" max="10" width="18" customWidth="1"/>
    <col min="11" max="11" width="34" customWidth="1"/>
  </cols>
  <sheetData>
    <row r="1" spans="1:11" ht="55" customHeight="1">
      <c r="A1" s="18" t="s">
        <v>89</v>
      </c>
      <c r="B1" s="18"/>
      <c r="C1" s="18"/>
      <c r="D1" s="18"/>
      <c r="E1" s="18"/>
      <c r="F1" s="18"/>
      <c r="G1" s="18"/>
      <c r="H1" s="18"/>
      <c r="I1" s="18"/>
      <c r="J1" s="18"/>
      <c r="K1" s="18"/>
    </row>
    <row r="2" spans="1:11" ht="39" customHeight="1">
      <c r="A2" s="22" t="s">
        <v>115</v>
      </c>
      <c r="B2" s="22"/>
      <c r="C2" s="22"/>
      <c r="D2" s="22"/>
      <c r="E2" s="22"/>
      <c r="F2" s="22"/>
      <c r="G2" s="22"/>
      <c r="H2" s="22"/>
      <c r="I2" s="22"/>
      <c r="J2" s="22"/>
      <c r="K2" s="22"/>
    </row>
    <row r="3" spans="1:11" ht="9" customHeight="1">
      <c r="A3" s="6"/>
      <c r="B3" s="6"/>
      <c r="C3" s="6"/>
      <c r="D3" s="6"/>
      <c r="E3" s="6"/>
      <c r="F3" s="6"/>
      <c r="G3" s="6"/>
      <c r="H3" s="6"/>
      <c r="I3" s="6"/>
      <c r="J3" s="6"/>
      <c r="K3" s="6"/>
    </row>
    <row r="4" spans="1:11">
      <c r="A4" s="11"/>
      <c r="B4" s="11"/>
      <c r="C4" s="11"/>
      <c r="D4" s="11"/>
      <c r="E4" s="11"/>
      <c r="F4" s="11"/>
      <c r="G4" s="11"/>
      <c r="H4" s="11"/>
      <c r="I4" s="11"/>
      <c r="J4" s="11"/>
      <c r="K4" s="11"/>
    </row>
    <row r="5" spans="1:11" ht="39" customHeight="1">
      <c r="A5" s="7" t="s">
        <v>116</v>
      </c>
      <c r="B5" s="7"/>
      <c r="C5" s="7"/>
      <c r="D5" s="7"/>
      <c r="E5" s="7"/>
      <c r="F5" s="7"/>
      <c r="G5" s="7"/>
      <c r="H5" s="7"/>
      <c r="I5" s="7"/>
      <c r="J5" s="7"/>
      <c r="K5" s="7"/>
    </row>
    <row r="6" spans="1:11" ht="60.25" customHeight="1">
      <c r="A6" s="13" t="s">
        <v>117</v>
      </c>
      <c r="B6" s="9" t="s">
        <v>12</v>
      </c>
      <c r="C6" s="14"/>
      <c r="D6" s="13" t="s">
        <v>118</v>
      </c>
      <c r="E6" s="9" t="s">
        <v>119</v>
      </c>
      <c r="F6" s="9"/>
      <c r="G6" s="9"/>
      <c r="H6" s="9"/>
      <c r="I6" s="9"/>
      <c r="J6" s="9"/>
      <c r="K6" s="9"/>
    </row>
    <row r="7" spans="1:11" ht="60.25" customHeight="1">
      <c r="A7" s="13" t="s">
        <v>120</v>
      </c>
      <c r="B7" s="9" t="s">
        <v>121</v>
      </c>
      <c r="C7" s="14"/>
      <c r="D7" s="13" t="s">
        <v>122</v>
      </c>
      <c r="E7" s="9" t="s">
        <v>123</v>
      </c>
      <c r="F7" s="9"/>
      <c r="G7" s="9"/>
      <c r="H7" s="9"/>
      <c r="I7" s="9"/>
      <c r="J7" s="9"/>
      <c r="K7" s="9"/>
    </row>
    <row r="8" spans="1:11" ht="60.25" customHeight="1">
      <c r="A8" s="13" t="s">
        <v>124</v>
      </c>
      <c r="B8" s="9" t="s">
        <v>125</v>
      </c>
      <c r="C8" s="14"/>
      <c r="D8" s="13" t="s">
        <v>126</v>
      </c>
      <c r="E8" s="9" t="s">
        <v>127</v>
      </c>
      <c r="F8" s="9"/>
      <c r="G8" s="9"/>
      <c r="H8" s="9"/>
      <c r="I8" s="9"/>
      <c r="J8" s="9"/>
      <c r="K8" s="9"/>
    </row>
    <row r="9" spans="1:11" ht="60.25" customHeight="1">
      <c r="A9" s="13" t="s">
        <v>128</v>
      </c>
      <c r="B9" s="9" t="s">
        <v>129</v>
      </c>
      <c r="C9" s="14"/>
      <c r="D9" s="13" t="s">
        <v>130</v>
      </c>
      <c r="E9" s="9" t="s">
        <v>131</v>
      </c>
      <c r="F9" s="9"/>
      <c r="G9" s="9"/>
      <c r="H9" s="9"/>
      <c r="I9" s="9"/>
      <c r="J9" s="9"/>
      <c r="K9" s="9"/>
    </row>
    <row r="10" spans="1:11" ht="60.25" customHeight="1">
      <c r="A10" s="13" t="s">
        <v>132</v>
      </c>
      <c r="B10" s="9" t="s">
        <v>133</v>
      </c>
      <c r="C10" s="14"/>
      <c r="D10" s="13" t="s">
        <v>134</v>
      </c>
      <c r="E10" s="9" t="s">
        <v>135</v>
      </c>
      <c r="F10" s="9"/>
      <c r="G10" s="9"/>
      <c r="H10" s="9"/>
      <c r="I10" s="9"/>
      <c r="J10" s="9"/>
      <c r="K10" s="9"/>
    </row>
    <row r="11" spans="1:11" ht="60.25" customHeight="1">
      <c r="A11" s="13" t="s">
        <v>106</v>
      </c>
      <c r="B11" s="9" t="s">
        <v>136</v>
      </c>
      <c r="C11" s="14"/>
      <c r="D11" s="13" t="s">
        <v>27</v>
      </c>
      <c r="E11" s="9" t="s">
        <v>137</v>
      </c>
      <c r="F11" s="9"/>
      <c r="G11" s="9"/>
      <c r="H11" s="9"/>
      <c r="I11" s="9"/>
      <c r="J11" s="9"/>
      <c r="K11" s="9"/>
    </row>
    <row r="12" spans="1:11" ht="60.25" customHeight="1">
      <c r="A12" s="13" t="s">
        <v>138</v>
      </c>
      <c r="B12" s="9" t="s">
        <v>139</v>
      </c>
      <c r="C12" s="14"/>
      <c r="D12" s="13" t="s">
        <v>140</v>
      </c>
      <c r="E12" s="9" t="s">
        <v>141</v>
      </c>
      <c r="F12" s="9"/>
      <c r="G12" s="9"/>
      <c r="H12" s="9"/>
      <c r="I12" s="9"/>
      <c r="J12" s="9"/>
      <c r="K12" s="9"/>
    </row>
    <row r="13" spans="1:11">
      <c r="A13" s="11"/>
      <c r="B13" s="11"/>
      <c r="C13" s="11"/>
      <c r="D13" s="11"/>
      <c r="E13" s="11"/>
      <c r="F13" s="11"/>
      <c r="G13" s="11"/>
      <c r="H13" s="11"/>
      <c r="I13" s="11"/>
      <c r="J13" s="11"/>
      <c r="K13" s="11"/>
    </row>
    <row r="14" spans="1:11">
      <c r="A14" s="11"/>
      <c r="B14" s="11"/>
      <c r="C14" s="11"/>
      <c r="D14" s="11"/>
      <c r="E14" s="11"/>
      <c r="F14" s="11"/>
      <c r="G14" s="11"/>
      <c r="H14" s="11"/>
      <c r="I14" s="11"/>
      <c r="J14" s="11"/>
      <c r="K14" s="11"/>
    </row>
    <row r="15" spans="1:11" ht="39" customHeight="1">
      <c r="A15" s="7" t="s">
        <v>142</v>
      </c>
      <c r="B15" s="7"/>
      <c r="C15" s="7"/>
      <c r="D15" s="7"/>
      <c r="E15" s="7"/>
      <c r="F15" s="11"/>
      <c r="G15" s="7" t="s">
        <v>143</v>
      </c>
      <c r="H15" s="7"/>
      <c r="I15" s="7"/>
      <c r="J15" s="7"/>
      <c r="K15" s="7"/>
    </row>
    <row r="16" spans="1:11" ht="16">
      <c r="A16" s="15" t="s">
        <v>144</v>
      </c>
      <c r="B16" s="9" t="s">
        <v>145</v>
      </c>
      <c r="C16" s="9"/>
      <c r="D16" s="9"/>
      <c r="E16" s="9"/>
      <c r="F16" s="11"/>
      <c r="G16" s="16" t="s">
        <v>146</v>
      </c>
      <c r="H16" s="9" t="s">
        <v>147</v>
      </c>
      <c r="I16" s="9"/>
      <c r="J16" s="9"/>
      <c r="K16" s="9"/>
    </row>
    <row r="17" spans="1:11" ht="16">
      <c r="A17" s="15" t="s">
        <v>144</v>
      </c>
      <c r="B17" s="9" t="s">
        <v>148</v>
      </c>
      <c r="C17" s="9"/>
      <c r="D17" s="9"/>
      <c r="E17" s="9"/>
      <c r="F17" s="11"/>
      <c r="G17" s="16" t="s">
        <v>146</v>
      </c>
      <c r="H17" s="9" t="s">
        <v>149</v>
      </c>
      <c r="I17" s="9"/>
      <c r="J17" s="9"/>
      <c r="K17" s="9"/>
    </row>
    <row r="18" spans="1:11" ht="16">
      <c r="A18" s="15" t="s">
        <v>144</v>
      </c>
      <c r="B18" s="9" t="s">
        <v>150</v>
      </c>
      <c r="C18" s="9"/>
      <c r="D18" s="9"/>
      <c r="E18" s="9"/>
      <c r="F18" s="11"/>
      <c r="G18" s="16" t="s">
        <v>146</v>
      </c>
      <c r="H18" s="9" t="s">
        <v>151</v>
      </c>
      <c r="I18" s="9"/>
      <c r="J18" s="9"/>
      <c r="K18" s="9"/>
    </row>
    <row r="19" spans="1:11" ht="16">
      <c r="A19" s="15" t="s">
        <v>144</v>
      </c>
      <c r="B19" s="9" t="s">
        <v>152</v>
      </c>
      <c r="C19" s="9"/>
      <c r="D19" s="9"/>
      <c r="E19" s="9"/>
      <c r="F19" s="11"/>
      <c r="G19" s="16" t="s">
        <v>146</v>
      </c>
      <c r="H19" s="9" t="s">
        <v>153</v>
      </c>
      <c r="I19" s="9"/>
      <c r="J19" s="9"/>
      <c r="K19" s="9"/>
    </row>
    <row r="20" spans="1:11" ht="16">
      <c r="A20" s="15" t="s">
        <v>144</v>
      </c>
      <c r="B20" s="9" t="s">
        <v>154</v>
      </c>
      <c r="C20" s="9"/>
      <c r="D20" s="9"/>
      <c r="E20" s="9"/>
      <c r="F20" s="11"/>
      <c r="G20" s="16" t="s">
        <v>146</v>
      </c>
      <c r="H20" s="9" t="s">
        <v>155</v>
      </c>
      <c r="I20" s="9"/>
      <c r="J20" s="9"/>
      <c r="K20" s="9"/>
    </row>
    <row r="21" spans="1:11">
      <c r="A21" s="11"/>
      <c r="B21" s="11"/>
      <c r="C21" s="11"/>
      <c r="D21" s="11"/>
      <c r="E21" s="11"/>
      <c r="F21" s="11"/>
      <c r="G21" s="11"/>
      <c r="H21" s="11"/>
      <c r="I21" s="11"/>
      <c r="J21" s="11"/>
      <c r="K21" s="11"/>
    </row>
    <row r="22" spans="1:11">
      <c r="A22" s="11"/>
      <c r="B22" s="11"/>
      <c r="C22" s="11"/>
      <c r="D22" s="11"/>
      <c r="E22" s="11"/>
      <c r="F22" s="11"/>
      <c r="G22" s="11"/>
      <c r="H22" s="11"/>
      <c r="I22" s="11"/>
      <c r="J22" s="11"/>
      <c r="K22" s="11"/>
    </row>
    <row r="23" spans="1:11" ht="39" customHeight="1">
      <c r="A23" s="7" t="s">
        <v>156</v>
      </c>
      <c r="B23" s="7"/>
      <c r="C23" s="7"/>
      <c r="D23" s="7"/>
      <c r="E23" s="7"/>
      <c r="F23" s="7"/>
      <c r="G23" s="7"/>
      <c r="H23" s="7"/>
      <c r="I23" s="7"/>
      <c r="J23" s="7"/>
      <c r="K23" s="7"/>
    </row>
    <row r="24" spans="1:11" ht="71" customHeight="1">
      <c r="A24" s="5" t="s">
        <v>157</v>
      </c>
      <c r="B24" s="5" t="s">
        <v>158</v>
      </c>
      <c r="C24" s="5" t="s">
        <v>159</v>
      </c>
      <c r="D24" s="5" t="s">
        <v>160</v>
      </c>
      <c r="E24" s="5" t="s">
        <v>161</v>
      </c>
      <c r="F24" s="5"/>
      <c r="G24" s="5" t="s">
        <v>157</v>
      </c>
      <c r="H24" s="5" t="s">
        <v>158</v>
      </c>
      <c r="I24" s="5" t="s">
        <v>159</v>
      </c>
      <c r="J24" s="5" t="s">
        <v>160</v>
      </c>
      <c r="K24" s="5" t="s">
        <v>161</v>
      </c>
    </row>
    <row r="25" spans="1:11" ht="71" customHeight="1">
      <c r="A25" s="8" t="s">
        <v>162</v>
      </c>
      <c r="B25" s="8" t="s">
        <v>163</v>
      </c>
      <c r="C25" s="8" t="s">
        <v>164</v>
      </c>
      <c r="D25" s="8" t="s">
        <v>165</v>
      </c>
      <c r="E25" s="8" t="s">
        <v>166</v>
      </c>
      <c r="F25" s="8"/>
      <c r="G25" s="8" t="s">
        <v>128</v>
      </c>
      <c r="H25" s="8" t="s">
        <v>167</v>
      </c>
      <c r="I25" s="8" t="s">
        <v>168</v>
      </c>
      <c r="J25" s="8" t="s">
        <v>169</v>
      </c>
      <c r="K25" s="8" t="s">
        <v>170</v>
      </c>
    </row>
    <row r="26" spans="1:11" ht="71" customHeight="1">
      <c r="A26" s="8" t="s">
        <v>128</v>
      </c>
      <c r="B26" s="8" t="s">
        <v>171</v>
      </c>
      <c r="C26" s="8" t="s">
        <v>172</v>
      </c>
      <c r="D26" s="8" t="s">
        <v>169</v>
      </c>
      <c r="E26" s="8" t="s">
        <v>170</v>
      </c>
      <c r="F26" s="8"/>
      <c r="G26" s="8" t="s">
        <v>173</v>
      </c>
      <c r="H26" s="8" t="s">
        <v>174</v>
      </c>
      <c r="I26" s="8" t="s">
        <v>175</v>
      </c>
      <c r="J26" s="8" t="s">
        <v>176</v>
      </c>
      <c r="K26" s="8" t="s">
        <v>177</v>
      </c>
    </row>
    <row r="27" spans="1:11" ht="71" customHeight="1">
      <c r="A27" s="8" t="s">
        <v>173</v>
      </c>
      <c r="B27" s="8" t="s">
        <v>178</v>
      </c>
      <c r="C27" s="8" t="s">
        <v>179</v>
      </c>
      <c r="D27" s="8" t="s">
        <v>180</v>
      </c>
      <c r="E27" s="8" t="s">
        <v>181</v>
      </c>
      <c r="F27" s="8"/>
      <c r="G27" s="8" t="s">
        <v>182</v>
      </c>
      <c r="H27" s="8" t="s">
        <v>183</v>
      </c>
      <c r="I27" s="8" t="s">
        <v>184</v>
      </c>
      <c r="J27" s="8" t="s">
        <v>185</v>
      </c>
      <c r="K27" s="8" t="s">
        <v>186</v>
      </c>
    </row>
    <row r="28" spans="1:11" ht="71" customHeight="1">
      <c r="A28" s="8" t="s">
        <v>187</v>
      </c>
      <c r="B28" s="8" t="s">
        <v>188</v>
      </c>
      <c r="C28" s="8" t="s">
        <v>189</v>
      </c>
      <c r="D28" s="8" t="s">
        <v>190</v>
      </c>
      <c r="E28" s="8" t="s">
        <v>191</v>
      </c>
      <c r="F28" s="8"/>
      <c r="G28" s="8" t="s">
        <v>192</v>
      </c>
      <c r="H28" s="8" t="s">
        <v>193</v>
      </c>
      <c r="I28" s="8" t="s">
        <v>194</v>
      </c>
      <c r="J28" s="8" t="s">
        <v>195</v>
      </c>
      <c r="K28" s="8" t="s">
        <v>196</v>
      </c>
    </row>
    <row r="29" spans="1:11" ht="71" customHeight="1">
      <c r="A29" s="8" t="s">
        <v>197</v>
      </c>
      <c r="B29" s="8" t="s">
        <v>198</v>
      </c>
      <c r="C29" s="8" t="s">
        <v>199</v>
      </c>
      <c r="D29" s="8" t="s">
        <v>200</v>
      </c>
      <c r="E29" s="8" t="s">
        <v>201</v>
      </c>
      <c r="F29" s="8"/>
      <c r="G29" s="8" t="s">
        <v>202</v>
      </c>
      <c r="H29" s="8" t="s">
        <v>203</v>
      </c>
      <c r="I29" s="8" t="s">
        <v>204</v>
      </c>
      <c r="J29" s="8" t="s">
        <v>205</v>
      </c>
      <c r="K29" s="8" t="s">
        <v>206</v>
      </c>
    </row>
    <row r="30" spans="1:11" ht="32" customHeight="1">
      <c r="A30" s="17" t="s">
        <v>114</v>
      </c>
      <c r="B30" s="17"/>
      <c r="C30" s="17"/>
      <c r="D30" s="17"/>
      <c r="E30" s="17"/>
      <c r="F30" s="17"/>
      <c r="G30" s="17"/>
      <c r="H30" s="17"/>
      <c r="I30" s="17"/>
      <c r="J30" s="17"/>
      <c r="K30" s="17"/>
    </row>
  </sheetData>
  <mergeCells count="32">
    <mergeCell ref="H17:K17"/>
    <mergeCell ref="H18:K18"/>
    <mergeCell ref="H19:K19"/>
    <mergeCell ref="A23:K23"/>
    <mergeCell ref="B17:E17"/>
    <mergeCell ref="B18:E18"/>
    <mergeCell ref="B19:E19"/>
    <mergeCell ref="B20:E20"/>
    <mergeCell ref="H20:K20"/>
    <mergeCell ref="E11:K11"/>
    <mergeCell ref="B12:C12"/>
    <mergeCell ref="E12:K12"/>
    <mergeCell ref="A15:E15"/>
    <mergeCell ref="B16:E16"/>
    <mergeCell ref="G15:K15"/>
    <mergeCell ref="H16:K16"/>
    <mergeCell ref="A1:K1"/>
    <mergeCell ref="A2:K2"/>
    <mergeCell ref="A3:K3"/>
    <mergeCell ref="A30:K30"/>
    <mergeCell ref="A5:K5"/>
    <mergeCell ref="B6:C6"/>
    <mergeCell ref="E6:K6"/>
    <mergeCell ref="B7:C7"/>
    <mergeCell ref="E7:K7"/>
    <mergeCell ref="B8:C8"/>
    <mergeCell ref="E8:K8"/>
    <mergeCell ref="B9:C9"/>
    <mergeCell ref="E9:K9"/>
    <mergeCell ref="B10:C10"/>
    <mergeCell ref="E10:K10"/>
    <mergeCell ref="B11:C11"/>
  </mergeCells>
  <pageMargins left="0.7" right="0.7" top="0.75" bottom="0.75" header="0.3" footer="0.3"/>
  <pageSetup scale="40" orientation="landscape"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N21"/>
  <sheetViews>
    <sheetView showGridLines="0" zoomScale="80" zoomScaleNormal="80" workbookViewId="0">
      <selection sqref="A1:N21"/>
    </sheetView>
  </sheetViews>
  <sheetFormatPr baseColWidth="10" defaultColWidth="8.83203125" defaultRowHeight="15"/>
  <cols>
    <col min="1" max="2" width="15" customWidth="1"/>
    <col min="3" max="3" width="39" customWidth="1"/>
    <col min="4" max="4" width="20" customWidth="1"/>
    <col min="5" max="5" width="14" customWidth="1"/>
    <col min="6" max="8" width="12" customWidth="1"/>
    <col min="9" max="9" width="16" customWidth="1"/>
    <col min="10" max="11" width="17" customWidth="1"/>
    <col min="12" max="12" width="25" customWidth="1"/>
    <col min="13" max="13" width="16" customWidth="1"/>
    <col min="14" max="14" width="42" customWidth="1"/>
  </cols>
  <sheetData>
    <row r="1" spans="1:14" ht="55" customHeight="1">
      <c r="A1" s="18" t="s">
        <v>207</v>
      </c>
      <c r="B1" s="18"/>
      <c r="C1" s="18"/>
      <c r="D1" s="18"/>
      <c r="E1" s="18"/>
      <c r="F1" s="18"/>
      <c r="G1" s="18"/>
      <c r="H1" s="18"/>
      <c r="I1" s="18"/>
      <c r="J1" s="18"/>
      <c r="K1" s="18"/>
      <c r="L1" s="18"/>
      <c r="M1" s="18"/>
      <c r="N1" s="18"/>
    </row>
    <row r="2" spans="1:14" ht="39" customHeight="1">
      <c r="A2" s="22" t="s">
        <v>208</v>
      </c>
      <c r="B2" s="22"/>
      <c r="C2" s="22"/>
      <c r="D2" s="22"/>
      <c r="E2" s="22"/>
      <c r="F2" s="22"/>
      <c r="G2" s="22"/>
      <c r="H2" s="22"/>
      <c r="I2" s="22"/>
      <c r="J2" s="22"/>
      <c r="K2" s="22"/>
      <c r="L2" s="22"/>
      <c r="M2" s="22"/>
      <c r="N2" s="22"/>
    </row>
    <row r="3" spans="1:14" ht="9" customHeight="1">
      <c r="A3" s="6"/>
      <c r="B3" s="6"/>
      <c r="C3" s="6"/>
      <c r="D3" s="6"/>
      <c r="E3" s="6"/>
      <c r="F3" s="6"/>
      <c r="G3" s="6"/>
      <c r="H3" s="6"/>
      <c r="I3" s="6"/>
      <c r="J3" s="6"/>
      <c r="K3" s="6"/>
      <c r="L3" s="6"/>
      <c r="M3" s="6"/>
      <c r="N3" s="6"/>
    </row>
    <row r="4" spans="1:14">
      <c r="A4" s="11"/>
      <c r="B4" s="11"/>
      <c r="C4" s="11"/>
      <c r="D4" s="11"/>
      <c r="E4" s="11"/>
      <c r="F4" s="11"/>
      <c r="G4" s="11"/>
      <c r="H4" s="11"/>
      <c r="I4" s="11"/>
      <c r="J4" s="11"/>
      <c r="K4" s="11"/>
      <c r="L4" s="11"/>
      <c r="M4" s="11"/>
      <c r="N4" s="11"/>
    </row>
    <row r="5" spans="1:14" ht="60.25" customHeight="1">
      <c r="A5" s="5" t="s">
        <v>209</v>
      </c>
      <c r="B5" s="5" t="s">
        <v>35</v>
      </c>
      <c r="C5" s="5" t="s">
        <v>210</v>
      </c>
      <c r="D5" s="5" t="s">
        <v>5</v>
      </c>
      <c r="E5" s="5" t="s">
        <v>211</v>
      </c>
      <c r="F5" s="5" t="s">
        <v>212</v>
      </c>
      <c r="G5" s="5" t="s">
        <v>213</v>
      </c>
      <c r="H5" s="5" t="s">
        <v>214</v>
      </c>
      <c r="I5" s="5" t="s">
        <v>8</v>
      </c>
      <c r="J5" s="5" t="s">
        <v>215</v>
      </c>
      <c r="K5" s="5" t="s">
        <v>216</v>
      </c>
      <c r="L5" s="5" t="s">
        <v>38</v>
      </c>
      <c r="M5" s="5" t="s">
        <v>217</v>
      </c>
      <c r="N5" s="5" t="s">
        <v>40</v>
      </c>
    </row>
    <row r="6" spans="1:14" ht="60.25" customHeight="1">
      <c r="A6" s="8" t="s">
        <v>218</v>
      </c>
      <c r="B6" s="8" t="s">
        <v>219</v>
      </c>
      <c r="C6" s="8" t="s">
        <v>220</v>
      </c>
      <c r="D6" s="8" t="s">
        <v>173</v>
      </c>
      <c r="E6" s="19">
        <v>5</v>
      </c>
      <c r="F6" s="19">
        <v>1</v>
      </c>
      <c r="G6" s="19">
        <v>1</v>
      </c>
      <c r="H6" s="20">
        <v>0.05</v>
      </c>
      <c r="I6" s="8" t="s">
        <v>0</v>
      </c>
      <c r="J6" s="20">
        <v>1</v>
      </c>
      <c r="K6" s="20">
        <f t="shared" ref="K6:K20" si="0">H6*J6</f>
        <v>0.05</v>
      </c>
      <c r="L6" s="8" t="s">
        <v>221</v>
      </c>
      <c r="M6" s="8" t="s">
        <v>222</v>
      </c>
      <c r="N6" s="8" t="s">
        <v>223</v>
      </c>
    </row>
    <row r="7" spans="1:14" ht="60.25" customHeight="1">
      <c r="A7" s="8" t="s">
        <v>224</v>
      </c>
      <c r="B7" s="8" t="s">
        <v>219</v>
      </c>
      <c r="C7" s="8" t="s">
        <v>225</v>
      </c>
      <c r="D7" s="8" t="s">
        <v>43</v>
      </c>
      <c r="E7" s="19">
        <v>5</v>
      </c>
      <c r="F7" s="19">
        <v>1</v>
      </c>
      <c r="G7" s="19">
        <v>2</v>
      </c>
      <c r="H7" s="20">
        <v>0.06</v>
      </c>
      <c r="I7" s="8" t="s">
        <v>1</v>
      </c>
      <c r="J7" s="20">
        <v>0.75</v>
      </c>
      <c r="K7" s="20">
        <f t="shared" si="0"/>
        <v>4.4999999999999998E-2</v>
      </c>
      <c r="L7" s="8" t="s">
        <v>218</v>
      </c>
      <c r="M7" s="8" t="s">
        <v>226</v>
      </c>
      <c r="N7" s="8" t="s">
        <v>227</v>
      </c>
    </row>
    <row r="8" spans="1:14" ht="60.25" customHeight="1">
      <c r="A8" s="8" t="s">
        <v>228</v>
      </c>
      <c r="B8" s="8" t="s">
        <v>229</v>
      </c>
      <c r="C8" s="8" t="s">
        <v>230</v>
      </c>
      <c r="D8" s="8" t="s">
        <v>128</v>
      </c>
      <c r="E8" s="19">
        <v>5</v>
      </c>
      <c r="F8" s="19">
        <v>1</v>
      </c>
      <c r="G8" s="19">
        <v>2</v>
      </c>
      <c r="H8" s="20">
        <v>7.0000000000000007E-2</v>
      </c>
      <c r="I8" s="8" t="s">
        <v>0</v>
      </c>
      <c r="J8" s="20">
        <v>1</v>
      </c>
      <c r="K8" s="20">
        <f t="shared" si="0"/>
        <v>7.0000000000000007E-2</v>
      </c>
      <c r="L8" s="8" t="s">
        <v>218</v>
      </c>
      <c r="M8" s="8" t="s">
        <v>222</v>
      </c>
      <c r="N8" s="8" t="s">
        <v>231</v>
      </c>
    </row>
    <row r="9" spans="1:14" ht="60.25" customHeight="1">
      <c r="A9" s="8" t="s">
        <v>232</v>
      </c>
      <c r="B9" s="8" t="s">
        <v>229</v>
      </c>
      <c r="C9" s="8" t="s">
        <v>233</v>
      </c>
      <c r="D9" s="8" t="s">
        <v>234</v>
      </c>
      <c r="E9" s="19">
        <v>7</v>
      </c>
      <c r="F9" s="19">
        <v>2</v>
      </c>
      <c r="G9" s="19">
        <v>3</v>
      </c>
      <c r="H9" s="20">
        <v>7.0000000000000007E-2</v>
      </c>
      <c r="I9" s="8" t="s">
        <v>2</v>
      </c>
      <c r="J9" s="20">
        <v>0.4</v>
      </c>
      <c r="K9" s="20">
        <f t="shared" si="0"/>
        <v>2.8000000000000004E-2</v>
      </c>
      <c r="L9" s="8" t="s">
        <v>228</v>
      </c>
      <c r="M9" s="8" t="s">
        <v>235</v>
      </c>
      <c r="N9" s="8" t="s">
        <v>236</v>
      </c>
    </row>
    <row r="10" spans="1:14" ht="60.25" customHeight="1">
      <c r="A10" s="8" t="s">
        <v>237</v>
      </c>
      <c r="B10" s="8" t="s">
        <v>229</v>
      </c>
      <c r="C10" s="8" t="s">
        <v>238</v>
      </c>
      <c r="D10" s="8" t="s">
        <v>60</v>
      </c>
      <c r="E10" s="19">
        <v>6</v>
      </c>
      <c r="F10" s="19">
        <v>2</v>
      </c>
      <c r="G10" s="19">
        <v>3</v>
      </c>
      <c r="H10" s="20">
        <v>7.0000000000000007E-2</v>
      </c>
      <c r="I10" s="8" t="s">
        <v>0</v>
      </c>
      <c r="J10" s="20">
        <v>1</v>
      </c>
      <c r="K10" s="20">
        <f t="shared" si="0"/>
        <v>7.0000000000000007E-2</v>
      </c>
      <c r="L10" s="8" t="s">
        <v>228</v>
      </c>
      <c r="M10" s="8" t="s">
        <v>222</v>
      </c>
      <c r="N10" s="8" t="s">
        <v>239</v>
      </c>
    </row>
    <row r="11" spans="1:14" ht="60.25" customHeight="1">
      <c r="A11" s="8" t="s">
        <v>240</v>
      </c>
      <c r="B11" s="8" t="s">
        <v>241</v>
      </c>
      <c r="C11" s="8" t="s">
        <v>242</v>
      </c>
      <c r="D11" s="8" t="s">
        <v>173</v>
      </c>
      <c r="E11" s="19">
        <v>18</v>
      </c>
      <c r="F11" s="19">
        <v>3</v>
      </c>
      <c r="G11" s="19">
        <v>6</v>
      </c>
      <c r="H11" s="20">
        <v>0.1</v>
      </c>
      <c r="I11" s="8" t="s">
        <v>1</v>
      </c>
      <c r="J11" s="20">
        <v>0.5</v>
      </c>
      <c r="K11" s="20">
        <f t="shared" si="0"/>
        <v>0.05</v>
      </c>
      <c r="L11" s="8" t="s">
        <v>237</v>
      </c>
      <c r="M11" s="8" t="s">
        <v>226</v>
      </c>
      <c r="N11" s="8" t="s">
        <v>243</v>
      </c>
    </row>
    <row r="12" spans="1:14" ht="60.25" customHeight="1">
      <c r="A12" s="8" t="s">
        <v>244</v>
      </c>
      <c r="B12" s="8" t="s">
        <v>241</v>
      </c>
      <c r="C12" s="8" t="s">
        <v>245</v>
      </c>
      <c r="D12" s="8" t="s">
        <v>246</v>
      </c>
      <c r="E12" s="19">
        <v>12</v>
      </c>
      <c r="F12" s="19">
        <v>4</v>
      </c>
      <c r="G12" s="19">
        <v>6</v>
      </c>
      <c r="H12" s="20">
        <v>0.08</v>
      </c>
      <c r="I12" s="8" t="s">
        <v>2</v>
      </c>
      <c r="J12" s="20">
        <v>0.3</v>
      </c>
      <c r="K12" s="20">
        <f t="shared" si="0"/>
        <v>2.4E-2</v>
      </c>
      <c r="L12" s="8" t="s">
        <v>240</v>
      </c>
      <c r="M12" s="8" t="s">
        <v>235</v>
      </c>
      <c r="N12" s="8" t="s">
        <v>247</v>
      </c>
    </row>
    <row r="13" spans="1:14" ht="60.25" customHeight="1">
      <c r="A13" s="8" t="s">
        <v>248</v>
      </c>
      <c r="B13" s="8" t="s">
        <v>241</v>
      </c>
      <c r="C13" s="8" t="s">
        <v>249</v>
      </c>
      <c r="D13" s="8" t="s">
        <v>250</v>
      </c>
      <c r="E13" s="19">
        <v>14</v>
      </c>
      <c r="F13" s="19">
        <v>6</v>
      </c>
      <c r="G13" s="19">
        <v>8</v>
      </c>
      <c r="H13" s="20">
        <v>0.1</v>
      </c>
      <c r="I13" s="8" t="s">
        <v>1</v>
      </c>
      <c r="J13" s="20">
        <v>0.1</v>
      </c>
      <c r="K13" s="20">
        <f t="shared" si="0"/>
        <v>1.0000000000000002E-2</v>
      </c>
      <c r="L13" s="8" t="s">
        <v>244</v>
      </c>
      <c r="M13" s="8" t="s">
        <v>226</v>
      </c>
      <c r="N13" s="8" t="s">
        <v>251</v>
      </c>
    </row>
    <row r="14" spans="1:14" ht="60.25" customHeight="1">
      <c r="A14" s="8" t="s">
        <v>252</v>
      </c>
      <c r="B14" s="8" t="s">
        <v>253</v>
      </c>
      <c r="C14" s="8" t="s">
        <v>254</v>
      </c>
      <c r="D14" s="8" t="s">
        <v>250</v>
      </c>
      <c r="E14" s="19">
        <v>15</v>
      </c>
      <c r="F14" s="19">
        <v>8</v>
      </c>
      <c r="G14" s="19">
        <v>10</v>
      </c>
      <c r="H14" s="20">
        <v>0.1</v>
      </c>
      <c r="I14" s="8" t="s">
        <v>3</v>
      </c>
      <c r="J14" s="20">
        <v>0</v>
      </c>
      <c r="K14" s="20">
        <f t="shared" si="0"/>
        <v>0</v>
      </c>
      <c r="L14" s="8" t="s">
        <v>232</v>
      </c>
      <c r="M14" s="8" t="s">
        <v>235</v>
      </c>
      <c r="N14" s="8" t="s">
        <v>255</v>
      </c>
    </row>
    <row r="15" spans="1:14" ht="60.25" customHeight="1">
      <c r="A15" s="8" t="s">
        <v>256</v>
      </c>
      <c r="B15" s="8" t="s">
        <v>253</v>
      </c>
      <c r="C15" s="8" t="s">
        <v>257</v>
      </c>
      <c r="D15" s="8" t="s">
        <v>250</v>
      </c>
      <c r="E15" s="19">
        <v>10</v>
      </c>
      <c r="F15" s="19">
        <v>9</v>
      </c>
      <c r="G15" s="19">
        <v>10</v>
      </c>
      <c r="H15" s="20">
        <v>7.0000000000000007E-2</v>
      </c>
      <c r="I15" s="8" t="s">
        <v>3</v>
      </c>
      <c r="J15" s="20">
        <v>0</v>
      </c>
      <c r="K15" s="20">
        <f t="shared" si="0"/>
        <v>0</v>
      </c>
      <c r="L15" s="8" t="s">
        <v>252</v>
      </c>
      <c r="M15" s="8" t="s">
        <v>235</v>
      </c>
      <c r="N15" s="8" t="s">
        <v>258</v>
      </c>
    </row>
    <row r="16" spans="1:14" ht="60.25" customHeight="1">
      <c r="A16" s="8" t="s">
        <v>259</v>
      </c>
      <c r="B16" s="8" t="s">
        <v>260</v>
      </c>
      <c r="C16" s="8" t="s">
        <v>261</v>
      </c>
      <c r="D16" s="8" t="s">
        <v>128</v>
      </c>
      <c r="E16" s="19">
        <v>5</v>
      </c>
      <c r="F16" s="19">
        <v>10</v>
      </c>
      <c r="G16" s="19">
        <v>11</v>
      </c>
      <c r="H16" s="20">
        <v>0.05</v>
      </c>
      <c r="I16" s="8" t="s">
        <v>3</v>
      </c>
      <c r="J16" s="20">
        <v>0</v>
      </c>
      <c r="K16" s="20">
        <f t="shared" si="0"/>
        <v>0</v>
      </c>
      <c r="L16" s="8" t="s">
        <v>256</v>
      </c>
      <c r="M16" s="8" t="s">
        <v>235</v>
      </c>
      <c r="N16" s="8" t="s">
        <v>262</v>
      </c>
    </row>
    <row r="17" spans="1:14" ht="60.25" customHeight="1">
      <c r="A17" s="8" t="s">
        <v>263</v>
      </c>
      <c r="B17" s="8" t="s">
        <v>260</v>
      </c>
      <c r="C17" s="8" t="s">
        <v>264</v>
      </c>
      <c r="D17" s="8" t="s">
        <v>173</v>
      </c>
      <c r="E17" s="19">
        <v>5</v>
      </c>
      <c r="F17" s="19">
        <v>11</v>
      </c>
      <c r="G17" s="19">
        <v>11</v>
      </c>
      <c r="H17" s="20">
        <v>0.05</v>
      </c>
      <c r="I17" s="8" t="s">
        <v>3</v>
      </c>
      <c r="J17" s="20">
        <v>0</v>
      </c>
      <c r="K17" s="20">
        <f t="shared" si="0"/>
        <v>0</v>
      </c>
      <c r="L17" s="8" t="s">
        <v>259</v>
      </c>
      <c r="M17" s="8" t="s">
        <v>226</v>
      </c>
      <c r="N17" s="8" t="s">
        <v>265</v>
      </c>
    </row>
    <row r="18" spans="1:14" ht="60.25" customHeight="1">
      <c r="A18" s="8" t="s">
        <v>266</v>
      </c>
      <c r="B18" s="8" t="s">
        <v>267</v>
      </c>
      <c r="C18" s="8" t="s">
        <v>268</v>
      </c>
      <c r="D18" s="8" t="s">
        <v>269</v>
      </c>
      <c r="E18" s="19">
        <v>3</v>
      </c>
      <c r="F18" s="19">
        <v>12</v>
      </c>
      <c r="G18" s="19">
        <v>12</v>
      </c>
      <c r="H18" s="20">
        <v>0.05</v>
      </c>
      <c r="I18" s="8" t="s">
        <v>3</v>
      </c>
      <c r="J18" s="20">
        <v>0</v>
      </c>
      <c r="K18" s="20">
        <f t="shared" si="0"/>
        <v>0</v>
      </c>
      <c r="L18" s="8" t="s">
        <v>263</v>
      </c>
      <c r="M18" s="8" t="s">
        <v>235</v>
      </c>
      <c r="N18" s="8" t="s">
        <v>270</v>
      </c>
    </row>
    <row r="19" spans="1:14" ht="60.25" customHeight="1">
      <c r="A19" s="8" t="s">
        <v>271</v>
      </c>
      <c r="B19" s="8" t="s">
        <v>267</v>
      </c>
      <c r="C19" s="8" t="s">
        <v>272</v>
      </c>
      <c r="D19" s="8" t="s">
        <v>43</v>
      </c>
      <c r="E19" s="19">
        <v>60</v>
      </c>
      <c r="F19" s="19">
        <v>2</v>
      </c>
      <c r="G19" s="19">
        <v>12</v>
      </c>
      <c r="H19" s="20">
        <v>0.04</v>
      </c>
      <c r="I19" s="8" t="s">
        <v>1</v>
      </c>
      <c r="J19" s="20">
        <v>0.65</v>
      </c>
      <c r="K19" s="20">
        <f t="shared" si="0"/>
        <v>2.6000000000000002E-2</v>
      </c>
      <c r="L19" s="8" t="s">
        <v>224</v>
      </c>
      <c r="M19" s="8" t="s">
        <v>226</v>
      </c>
      <c r="N19" s="8" t="s">
        <v>273</v>
      </c>
    </row>
    <row r="20" spans="1:14" ht="60.25" customHeight="1">
      <c r="A20" s="8" t="s">
        <v>274</v>
      </c>
      <c r="B20" s="8" t="s">
        <v>275</v>
      </c>
      <c r="C20" s="8" t="s">
        <v>276</v>
      </c>
      <c r="D20" s="8" t="s">
        <v>128</v>
      </c>
      <c r="E20" s="19">
        <v>3</v>
      </c>
      <c r="F20" s="19">
        <v>12</v>
      </c>
      <c r="G20" s="19">
        <v>12</v>
      </c>
      <c r="H20" s="20">
        <v>0.04</v>
      </c>
      <c r="I20" s="8" t="s">
        <v>3</v>
      </c>
      <c r="J20" s="20">
        <v>0</v>
      </c>
      <c r="K20" s="20">
        <f t="shared" si="0"/>
        <v>0</v>
      </c>
      <c r="L20" s="8" t="s">
        <v>266</v>
      </c>
      <c r="M20" s="8" t="s">
        <v>226</v>
      </c>
      <c r="N20" s="8" t="s">
        <v>277</v>
      </c>
    </row>
    <row r="21" spans="1:14" ht="32" customHeight="1">
      <c r="A21" s="21" t="s">
        <v>114</v>
      </c>
      <c r="B21" s="21"/>
      <c r="C21" s="21"/>
      <c r="D21" s="21"/>
      <c r="E21" s="21"/>
      <c r="F21" s="21"/>
      <c r="G21" s="21"/>
      <c r="H21" s="21"/>
      <c r="I21" s="21"/>
      <c r="J21" s="21"/>
      <c r="K21" s="21"/>
      <c r="L21" s="21"/>
      <c r="M21" s="21"/>
      <c r="N21" s="21"/>
    </row>
  </sheetData>
  <mergeCells count="4">
    <mergeCell ref="A1:N1"/>
    <mergeCell ref="A2:N2"/>
    <mergeCell ref="A3:N3"/>
    <mergeCell ref="A21:N21"/>
  </mergeCells>
  <conditionalFormatting sqref="I6:I20">
    <cfRule type="expression" dxfId="110" priority="1">
      <formula>I6="Complete"</formula>
    </cfRule>
    <cfRule type="expression" dxfId="109" priority="2">
      <formula>I6="On Track"</formula>
    </cfRule>
    <cfRule type="expression" dxfId="108" priority="3">
      <formula>I6="Approved"</formula>
    </cfRule>
    <cfRule type="expression" dxfId="107" priority="4">
      <formula>I6="Confirmed"</formula>
    </cfRule>
    <cfRule type="expression" dxfId="106" priority="5">
      <formula>I6="Available"</formula>
    </cfRule>
    <cfRule type="expression" dxfId="105" priority="6">
      <formula>I6="In Progress"</formula>
    </cfRule>
    <cfRule type="expression" dxfId="104" priority="7">
      <formula>I6="Watch"</formula>
    </cfRule>
    <cfRule type="expression" dxfId="103" priority="8">
      <formula>I6="Pending"</formula>
    </cfRule>
    <cfRule type="expression" dxfId="102" priority="9">
      <formula>I6="Open"</formula>
    </cfRule>
    <cfRule type="expression" dxfId="101" priority="10">
      <formula>I6="At Risk"</formula>
    </cfRule>
    <cfRule type="expression" dxfId="100" priority="11">
      <formula>I6="Critical"</formula>
    </cfRule>
    <cfRule type="expression" dxfId="99" priority="12">
      <formula>I6="Not Started"</formula>
    </cfRule>
    <cfRule type="expression" dxfId="98" priority="13">
      <formula>I6="In Review"</formula>
    </cfRule>
  </conditionalFormatting>
  <conditionalFormatting sqref="J6:J20">
    <cfRule type="dataBar" priority="14">
      <dataBar>
        <cfvo type="min"/>
        <cfvo type="max"/>
        <color rgb="FFB4873E"/>
      </dataBar>
    </cfRule>
    <cfRule type="dataBar" priority="15">
      <dataBar>
        <cfvo type="min"/>
        <cfvo type="max"/>
        <color rgb="FFB4873E"/>
      </dataBar>
    </cfRule>
    <cfRule type="dataBar" priority="16">
      <dataBar>
        <cfvo type="min"/>
        <cfvo type="max"/>
        <color rgb="FFB4873E"/>
      </dataBar>
      <extLst>
        <ext xmlns:x14="http://schemas.microsoft.com/office/spreadsheetml/2009/9/main" uri="{B025F937-C7B1-47D3-B67F-A62EFF666E3E}">
          <x14:id>{C4F470EC-495C-E09A-98DE-3288A7857CC6}</x14:id>
        </ext>
      </extLst>
    </cfRule>
  </conditionalFormatting>
  <dataValidations count="1">
    <dataValidation type="list" sqref="I6:I20" xr:uid="{00000000-0002-0000-0200-000000000000}">
      <formula1>"Complete,In Progress,At Risk,Not Started"</formula1>
    </dataValidation>
  </dataValidations>
  <pageMargins left="0.7" right="0.7" top="0.75" bottom="0.75" header="0.3" footer="0.3"/>
  <pageSetup scale="42" orientation="landscape" horizontalDpi="0" verticalDpi="0"/>
  <extLst>
    <ext xmlns:x14="http://schemas.microsoft.com/office/spreadsheetml/2009/9/main" uri="{78C0D931-6437-407d-A8EE-F0AAD7539E65}">
      <x14:conditionalFormattings>
        <x14:conditionalFormatting xmlns:xm="http://schemas.microsoft.com/office/excel/2006/main">
          <x14:cfRule type="dataBar" id="{C4F470EC-495C-E09A-98DE-3288A7857CC6}">
            <x14:dataBar>
              <x14:cfvo type="min"/>
              <x14:cfvo type="max"/>
              <x14:negativeFillColor auto="1"/>
              <x14:axisColor auto="1"/>
            </x14:dataBar>
          </x14:cfRule>
          <xm:sqref>J6:J20</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S21"/>
  <sheetViews>
    <sheetView showGridLines="0" workbookViewId="0">
      <selection sqref="A1:S21"/>
    </sheetView>
  </sheetViews>
  <sheetFormatPr baseColWidth="10" defaultColWidth="8.83203125" defaultRowHeight="15"/>
  <cols>
    <col min="1" max="1" width="14" customWidth="1"/>
    <col min="2" max="2" width="42" customWidth="1"/>
    <col min="3" max="3" width="20" customWidth="1"/>
    <col min="4" max="5" width="12" customWidth="1"/>
    <col min="6" max="6" width="14" customWidth="1"/>
    <col min="7" max="7" width="16" customWidth="1"/>
    <col min="8" max="19" width="8" customWidth="1"/>
  </cols>
  <sheetData>
    <row r="1" spans="1:19" ht="55" customHeight="1">
      <c r="A1" s="18" t="s">
        <v>278</v>
      </c>
      <c r="B1" s="18"/>
      <c r="C1" s="18"/>
      <c r="D1" s="18"/>
      <c r="E1" s="18"/>
      <c r="F1" s="18"/>
      <c r="G1" s="18"/>
      <c r="H1" s="18"/>
      <c r="I1" s="18"/>
      <c r="J1" s="18"/>
      <c r="K1" s="18"/>
      <c r="L1" s="18"/>
      <c r="M1" s="18"/>
      <c r="N1" s="18"/>
      <c r="O1" s="18"/>
      <c r="P1" s="18"/>
      <c r="Q1" s="18"/>
      <c r="R1" s="18"/>
      <c r="S1" s="18"/>
    </row>
    <row r="2" spans="1:19" ht="39" customHeight="1">
      <c r="A2" s="22" t="s">
        <v>279</v>
      </c>
      <c r="B2" s="22"/>
      <c r="C2" s="22"/>
      <c r="D2" s="22"/>
      <c r="E2" s="22"/>
      <c r="F2" s="22"/>
      <c r="G2" s="22"/>
      <c r="H2" s="22"/>
      <c r="I2" s="22"/>
      <c r="J2" s="22"/>
      <c r="K2" s="22"/>
      <c r="L2" s="22"/>
      <c r="M2" s="22"/>
      <c r="N2" s="22"/>
      <c r="O2" s="22"/>
      <c r="P2" s="22"/>
      <c r="Q2" s="22"/>
      <c r="R2" s="22"/>
      <c r="S2" s="22"/>
    </row>
    <row r="3" spans="1:19" ht="9" customHeight="1">
      <c r="A3" s="6"/>
      <c r="B3" s="6"/>
      <c r="C3" s="6"/>
      <c r="D3" s="6"/>
      <c r="E3" s="6"/>
      <c r="F3" s="6"/>
      <c r="G3" s="6"/>
      <c r="H3" s="6"/>
      <c r="I3" s="6"/>
      <c r="J3" s="6"/>
      <c r="K3" s="6"/>
      <c r="L3" s="6"/>
      <c r="M3" s="6"/>
      <c r="N3" s="6"/>
      <c r="O3" s="6"/>
      <c r="P3" s="6"/>
      <c r="Q3" s="6"/>
      <c r="R3" s="6"/>
      <c r="S3" s="6"/>
    </row>
    <row r="4" spans="1:19">
      <c r="A4" s="11"/>
      <c r="B4" s="11"/>
      <c r="C4" s="11"/>
      <c r="D4" s="11"/>
      <c r="E4" s="11"/>
      <c r="F4" s="11"/>
      <c r="G4" s="11"/>
      <c r="H4" s="11"/>
      <c r="I4" s="11"/>
      <c r="J4" s="11"/>
      <c r="K4" s="11"/>
      <c r="L4" s="11"/>
      <c r="M4" s="11"/>
      <c r="N4" s="11"/>
      <c r="O4" s="11"/>
      <c r="P4" s="11"/>
      <c r="Q4" s="11"/>
      <c r="R4" s="11"/>
      <c r="S4" s="11"/>
    </row>
    <row r="5" spans="1:19" ht="49.75" customHeight="1">
      <c r="A5" s="5" t="s">
        <v>35</v>
      </c>
      <c r="B5" s="5" t="s">
        <v>280</v>
      </c>
      <c r="C5" s="5" t="s">
        <v>5</v>
      </c>
      <c r="D5" s="5" t="s">
        <v>212</v>
      </c>
      <c r="E5" s="5" t="s">
        <v>213</v>
      </c>
      <c r="F5" s="5" t="s">
        <v>211</v>
      </c>
      <c r="G5" s="5" t="s">
        <v>39</v>
      </c>
      <c r="H5" s="23">
        <v>1</v>
      </c>
      <c r="I5" s="23">
        <v>2</v>
      </c>
      <c r="J5" s="23">
        <v>3</v>
      </c>
      <c r="K5" s="23">
        <v>4</v>
      </c>
      <c r="L5" s="23">
        <v>5</v>
      </c>
      <c r="M5" s="23">
        <v>6</v>
      </c>
      <c r="N5" s="23">
        <v>7</v>
      </c>
      <c r="O5" s="23">
        <v>8</v>
      </c>
      <c r="P5" s="23">
        <v>9</v>
      </c>
      <c r="Q5" s="23">
        <v>10</v>
      </c>
      <c r="R5" s="23">
        <v>11</v>
      </c>
      <c r="S5" s="23">
        <v>12</v>
      </c>
    </row>
    <row r="6" spans="1:19" ht="49.75" customHeight="1">
      <c r="A6" s="8" t="s">
        <v>219</v>
      </c>
      <c r="B6" s="8" t="s">
        <v>281</v>
      </c>
      <c r="C6" s="8" t="s">
        <v>173</v>
      </c>
      <c r="D6" s="8">
        <v>1</v>
      </c>
      <c r="E6" s="8">
        <v>1</v>
      </c>
      <c r="F6" s="8">
        <v>5</v>
      </c>
      <c r="G6" s="8" t="s">
        <v>0</v>
      </c>
      <c r="H6" s="8" t="str">
        <f t="shared" ref="H6:S20" si="0">IF(AND(H$5&gt;=$D6,H$5&lt;=$E6),"●","")</f>
        <v>●</v>
      </c>
      <c r="I6" s="8" t="str">
        <f t="shared" si="0"/>
        <v/>
      </c>
      <c r="J6" s="8" t="str">
        <f t="shared" si="0"/>
        <v/>
      </c>
      <c r="K6" s="8" t="str">
        <f t="shared" si="0"/>
        <v/>
      </c>
      <c r="L6" s="8" t="str">
        <f t="shared" si="0"/>
        <v/>
      </c>
      <c r="M6" s="8" t="str">
        <f t="shared" si="0"/>
        <v/>
      </c>
      <c r="N6" s="8" t="str">
        <f t="shared" si="0"/>
        <v/>
      </c>
      <c r="O6" s="8" t="str">
        <f t="shared" si="0"/>
        <v/>
      </c>
      <c r="P6" s="8" t="str">
        <f t="shared" si="0"/>
        <v/>
      </c>
      <c r="Q6" s="8" t="str">
        <f t="shared" si="0"/>
        <v/>
      </c>
      <c r="R6" s="8" t="str">
        <f t="shared" si="0"/>
        <v/>
      </c>
      <c r="S6" s="8" t="str">
        <f t="shared" si="0"/>
        <v/>
      </c>
    </row>
    <row r="7" spans="1:19" ht="49.75" customHeight="1">
      <c r="A7" s="8" t="s">
        <v>219</v>
      </c>
      <c r="B7" s="8" t="s">
        <v>282</v>
      </c>
      <c r="C7" s="8" t="s">
        <v>269</v>
      </c>
      <c r="D7" s="8">
        <v>1</v>
      </c>
      <c r="E7" s="8">
        <v>1</v>
      </c>
      <c r="F7" s="8">
        <v>3</v>
      </c>
      <c r="G7" s="8" t="s">
        <v>0</v>
      </c>
      <c r="H7" s="8" t="str">
        <f t="shared" si="0"/>
        <v>●</v>
      </c>
      <c r="I7" s="8" t="str">
        <f t="shared" si="0"/>
        <v/>
      </c>
      <c r="J7" s="8" t="str">
        <f t="shared" si="0"/>
        <v/>
      </c>
      <c r="K7" s="8" t="str">
        <f t="shared" si="0"/>
        <v/>
      </c>
      <c r="L7" s="8" t="str">
        <f t="shared" si="0"/>
        <v/>
      </c>
      <c r="M7" s="8" t="str">
        <f t="shared" si="0"/>
        <v/>
      </c>
      <c r="N7" s="8" t="str">
        <f t="shared" si="0"/>
        <v/>
      </c>
      <c r="O7" s="8" t="str">
        <f t="shared" si="0"/>
        <v/>
      </c>
      <c r="P7" s="8" t="str">
        <f t="shared" si="0"/>
        <v/>
      </c>
      <c r="Q7" s="8" t="str">
        <f t="shared" si="0"/>
        <v/>
      </c>
      <c r="R7" s="8" t="str">
        <f t="shared" si="0"/>
        <v/>
      </c>
      <c r="S7" s="8" t="str">
        <f t="shared" si="0"/>
        <v/>
      </c>
    </row>
    <row r="8" spans="1:19" ht="49.75" customHeight="1">
      <c r="A8" s="8" t="s">
        <v>229</v>
      </c>
      <c r="B8" s="8" t="s">
        <v>283</v>
      </c>
      <c r="C8" s="8" t="s">
        <v>128</v>
      </c>
      <c r="D8" s="8">
        <v>1</v>
      </c>
      <c r="E8" s="8">
        <v>2</v>
      </c>
      <c r="F8" s="8">
        <v>5</v>
      </c>
      <c r="G8" s="8" t="s">
        <v>0</v>
      </c>
      <c r="H8" s="8" t="str">
        <f t="shared" si="0"/>
        <v>●</v>
      </c>
      <c r="I8" s="8" t="str">
        <f t="shared" si="0"/>
        <v>●</v>
      </c>
      <c r="J8" s="8" t="str">
        <f t="shared" si="0"/>
        <v/>
      </c>
      <c r="K8" s="8" t="str">
        <f t="shared" si="0"/>
        <v/>
      </c>
      <c r="L8" s="8" t="str">
        <f t="shared" si="0"/>
        <v/>
      </c>
      <c r="M8" s="8" t="str">
        <f t="shared" si="0"/>
        <v/>
      </c>
      <c r="N8" s="8" t="str">
        <f t="shared" si="0"/>
        <v/>
      </c>
      <c r="O8" s="8" t="str">
        <f t="shared" si="0"/>
        <v/>
      </c>
      <c r="P8" s="8" t="str">
        <f t="shared" si="0"/>
        <v/>
      </c>
      <c r="Q8" s="8" t="str">
        <f t="shared" si="0"/>
        <v/>
      </c>
      <c r="R8" s="8" t="str">
        <f t="shared" si="0"/>
        <v/>
      </c>
      <c r="S8" s="8" t="str">
        <f t="shared" si="0"/>
        <v/>
      </c>
    </row>
    <row r="9" spans="1:19" ht="49.75" customHeight="1">
      <c r="A9" s="8" t="s">
        <v>229</v>
      </c>
      <c r="B9" s="8" t="s">
        <v>284</v>
      </c>
      <c r="C9" s="8" t="s">
        <v>234</v>
      </c>
      <c r="D9" s="8">
        <v>2</v>
      </c>
      <c r="E9" s="8">
        <v>3</v>
      </c>
      <c r="F9" s="8">
        <v>7</v>
      </c>
      <c r="G9" s="8" t="s">
        <v>2</v>
      </c>
      <c r="H9" s="8" t="str">
        <f t="shared" si="0"/>
        <v/>
      </c>
      <c r="I9" s="8" t="str">
        <f t="shared" si="0"/>
        <v>●</v>
      </c>
      <c r="J9" s="8" t="str">
        <f t="shared" si="0"/>
        <v>●</v>
      </c>
      <c r="K9" s="8" t="str">
        <f t="shared" si="0"/>
        <v/>
      </c>
      <c r="L9" s="8" t="str">
        <f t="shared" si="0"/>
        <v/>
      </c>
      <c r="M9" s="8" t="str">
        <f t="shared" si="0"/>
        <v/>
      </c>
      <c r="N9" s="8" t="str">
        <f t="shared" si="0"/>
        <v/>
      </c>
      <c r="O9" s="8" t="str">
        <f t="shared" si="0"/>
        <v/>
      </c>
      <c r="P9" s="8" t="str">
        <f t="shared" si="0"/>
        <v/>
      </c>
      <c r="Q9" s="8" t="str">
        <f t="shared" si="0"/>
        <v/>
      </c>
      <c r="R9" s="8" t="str">
        <f t="shared" si="0"/>
        <v/>
      </c>
      <c r="S9" s="8" t="str">
        <f t="shared" si="0"/>
        <v/>
      </c>
    </row>
    <row r="10" spans="1:19" ht="49.75" customHeight="1">
      <c r="A10" s="8" t="s">
        <v>229</v>
      </c>
      <c r="B10" s="8" t="s">
        <v>285</v>
      </c>
      <c r="C10" s="8" t="s">
        <v>60</v>
      </c>
      <c r="D10" s="8">
        <v>2</v>
      </c>
      <c r="E10" s="8">
        <v>3</v>
      </c>
      <c r="F10" s="8">
        <v>6</v>
      </c>
      <c r="G10" s="8" t="s">
        <v>0</v>
      </c>
      <c r="H10" s="8" t="str">
        <f t="shared" si="0"/>
        <v/>
      </c>
      <c r="I10" s="8" t="str">
        <f t="shared" si="0"/>
        <v>●</v>
      </c>
      <c r="J10" s="8" t="str">
        <f t="shared" si="0"/>
        <v>●</v>
      </c>
      <c r="K10" s="8" t="str">
        <f t="shared" si="0"/>
        <v/>
      </c>
      <c r="L10" s="8" t="str">
        <f t="shared" si="0"/>
        <v/>
      </c>
      <c r="M10" s="8" t="str">
        <f t="shared" si="0"/>
        <v/>
      </c>
      <c r="N10" s="8" t="str">
        <f t="shared" si="0"/>
        <v/>
      </c>
      <c r="O10" s="8" t="str">
        <f t="shared" si="0"/>
        <v/>
      </c>
      <c r="P10" s="8" t="str">
        <f t="shared" si="0"/>
        <v/>
      </c>
      <c r="Q10" s="8" t="str">
        <f t="shared" si="0"/>
        <v/>
      </c>
      <c r="R10" s="8" t="str">
        <f t="shared" si="0"/>
        <v/>
      </c>
      <c r="S10" s="8" t="str">
        <f t="shared" si="0"/>
        <v/>
      </c>
    </row>
    <row r="11" spans="1:19" ht="49.75" customHeight="1">
      <c r="A11" s="8" t="s">
        <v>241</v>
      </c>
      <c r="B11" s="8" t="s">
        <v>286</v>
      </c>
      <c r="C11" s="8" t="s">
        <v>173</v>
      </c>
      <c r="D11" s="8">
        <v>3</v>
      </c>
      <c r="E11" s="8">
        <v>6</v>
      </c>
      <c r="F11" s="8">
        <v>18</v>
      </c>
      <c r="G11" s="8" t="s">
        <v>1</v>
      </c>
      <c r="H11" s="8" t="str">
        <f t="shared" si="0"/>
        <v/>
      </c>
      <c r="I11" s="8" t="str">
        <f t="shared" si="0"/>
        <v/>
      </c>
      <c r="J11" s="8" t="str">
        <f t="shared" si="0"/>
        <v>●</v>
      </c>
      <c r="K11" s="8" t="str">
        <f t="shared" si="0"/>
        <v>●</v>
      </c>
      <c r="L11" s="8" t="str">
        <f t="shared" si="0"/>
        <v>●</v>
      </c>
      <c r="M11" s="8" t="str">
        <f t="shared" si="0"/>
        <v>●</v>
      </c>
      <c r="N11" s="8" t="str">
        <f t="shared" si="0"/>
        <v/>
      </c>
      <c r="O11" s="8" t="str">
        <f t="shared" si="0"/>
        <v/>
      </c>
      <c r="P11" s="8" t="str">
        <f t="shared" si="0"/>
        <v/>
      </c>
      <c r="Q11" s="8" t="str">
        <f t="shared" si="0"/>
        <v/>
      </c>
      <c r="R11" s="8" t="str">
        <f t="shared" si="0"/>
        <v/>
      </c>
      <c r="S11" s="8" t="str">
        <f t="shared" si="0"/>
        <v/>
      </c>
    </row>
    <row r="12" spans="1:19" ht="49.75" customHeight="1">
      <c r="A12" s="8" t="s">
        <v>241</v>
      </c>
      <c r="B12" s="8" t="s">
        <v>287</v>
      </c>
      <c r="C12" s="8" t="s">
        <v>246</v>
      </c>
      <c r="D12" s="8">
        <v>4</v>
      </c>
      <c r="E12" s="8">
        <v>6</v>
      </c>
      <c r="F12" s="8">
        <v>12</v>
      </c>
      <c r="G12" s="8" t="s">
        <v>2</v>
      </c>
      <c r="H12" s="8" t="str">
        <f t="shared" si="0"/>
        <v/>
      </c>
      <c r="I12" s="8" t="str">
        <f t="shared" si="0"/>
        <v/>
      </c>
      <c r="J12" s="8" t="str">
        <f t="shared" si="0"/>
        <v/>
      </c>
      <c r="K12" s="8" t="str">
        <f t="shared" si="0"/>
        <v>●</v>
      </c>
      <c r="L12" s="8" t="str">
        <f t="shared" si="0"/>
        <v>●</v>
      </c>
      <c r="M12" s="8" t="str">
        <f t="shared" si="0"/>
        <v>●</v>
      </c>
      <c r="N12" s="8" t="str">
        <f t="shared" si="0"/>
        <v/>
      </c>
      <c r="O12" s="8" t="str">
        <f t="shared" si="0"/>
        <v/>
      </c>
      <c r="P12" s="8" t="str">
        <f t="shared" si="0"/>
        <v/>
      </c>
      <c r="Q12" s="8" t="str">
        <f t="shared" si="0"/>
        <v/>
      </c>
      <c r="R12" s="8" t="str">
        <f t="shared" si="0"/>
        <v/>
      </c>
      <c r="S12" s="8" t="str">
        <f t="shared" si="0"/>
        <v/>
      </c>
    </row>
    <row r="13" spans="1:19" ht="49.75" customHeight="1">
      <c r="A13" s="8" t="s">
        <v>241</v>
      </c>
      <c r="B13" s="8" t="s">
        <v>288</v>
      </c>
      <c r="C13" s="8" t="s">
        <v>250</v>
      </c>
      <c r="D13" s="8">
        <v>6</v>
      </c>
      <c r="E13" s="8">
        <v>8</v>
      </c>
      <c r="F13" s="8">
        <v>14</v>
      </c>
      <c r="G13" s="8" t="s">
        <v>1</v>
      </c>
      <c r="H13" s="8" t="str">
        <f t="shared" si="0"/>
        <v/>
      </c>
      <c r="I13" s="8" t="str">
        <f t="shared" si="0"/>
        <v/>
      </c>
      <c r="J13" s="8" t="str">
        <f t="shared" si="0"/>
        <v/>
      </c>
      <c r="K13" s="8" t="str">
        <f t="shared" si="0"/>
        <v/>
      </c>
      <c r="L13" s="8" t="str">
        <f t="shared" si="0"/>
        <v/>
      </c>
      <c r="M13" s="8" t="str">
        <f t="shared" si="0"/>
        <v>●</v>
      </c>
      <c r="N13" s="8" t="str">
        <f t="shared" si="0"/>
        <v>●</v>
      </c>
      <c r="O13" s="8" t="str">
        <f t="shared" si="0"/>
        <v>●</v>
      </c>
      <c r="P13" s="8" t="str">
        <f t="shared" si="0"/>
        <v/>
      </c>
      <c r="Q13" s="8" t="str">
        <f t="shared" si="0"/>
        <v/>
      </c>
      <c r="R13" s="8" t="str">
        <f t="shared" si="0"/>
        <v/>
      </c>
      <c r="S13" s="8" t="str">
        <f t="shared" si="0"/>
        <v/>
      </c>
    </row>
    <row r="14" spans="1:19" ht="49.75" customHeight="1">
      <c r="A14" s="8" t="s">
        <v>253</v>
      </c>
      <c r="B14" s="8" t="s">
        <v>289</v>
      </c>
      <c r="C14" s="8" t="s">
        <v>250</v>
      </c>
      <c r="D14" s="8">
        <v>8</v>
      </c>
      <c r="E14" s="8">
        <v>10</v>
      </c>
      <c r="F14" s="8">
        <v>15</v>
      </c>
      <c r="G14" s="8" t="s">
        <v>3</v>
      </c>
      <c r="H14" s="8" t="str">
        <f t="shared" si="0"/>
        <v/>
      </c>
      <c r="I14" s="8" t="str">
        <f t="shared" si="0"/>
        <v/>
      </c>
      <c r="J14" s="8" t="str">
        <f t="shared" si="0"/>
        <v/>
      </c>
      <c r="K14" s="8" t="str">
        <f t="shared" si="0"/>
        <v/>
      </c>
      <c r="L14" s="8" t="str">
        <f t="shared" si="0"/>
        <v/>
      </c>
      <c r="M14" s="8" t="str">
        <f t="shared" si="0"/>
        <v/>
      </c>
      <c r="N14" s="8" t="str">
        <f t="shared" si="0"/>
        <v/>
      </c>
      <c r="O14" s="8" t="str">
        <f t="shared" si="0"/>
        <v>●</v>
      </c>
      <c r="P14" s="8" t="str">
        <f t="shared" si="0"/>
        <v>●</v>
      </c>
      <c r="Q14" s="8" t="str">
        <f t="shared" si="0"/>
        <v>●</v>
      </c>
      <c r="R14" s="8" t="str">
        <f t="shared" si="0"/>
        <v/>
      </c>
      <c r="S14" s="8" t="str">
        <f t="shared" si="0"/>
        <v/>
      </c>
    </row>
    <row r="15" spans="1:19" ht="49.75" customHeight="1">
      <c r="A15" s="8" t="s">
        <v>253</v>
      </c>
      <c r="B15" s="8" t="s">
        <v>290</v>
      </c>
      <c r="C15" s="8" t="s">
        <v>250</v>
      </c>
      <c r="D15" s="8">
        <v>9</v>
      </c>
      <c r="E15" s="8">
        <v>10</v>
      </c>
      <c r="F15" s="8">
        <v>10</v>
      </c>
      <c r="G15" s="8" t="s">
        <v>3</v>
      </c>
      <c r="H15" s="8" t="str">
        <f t="shared" si="0"/>
        <v/>
      </c>
      <c r="I15" s="8" t="str">
        <f t="shared" si="0"/>
        <v/>
      </c>
      <c r="J15" s="8" t="str">
        <f t="shared" si="0"/>
        <v/>
      </c>
      <c r="K15" s="8" t="str">
        <f t="shared" si="0"/>
        <v/>
      </c>
      <c r="L15" s="8" t="str">
        <f t="shared" si="0"/>
        <v/>
      </c>
      <c r="M15" s="8" t="str">
        <f t="shared" si="0"/>
        <v/>
      </c>
      <c r="N15" s="8" t="str">
        <f t="shared" si="0"/>
        <v/>
      </c>
      <c r="O15" s="8" t="str">
        <f t="shared" si="0"/>
        <v/>
      </c>
      <c r="P15" s="8" t="str">
        <f t="shared" si="0"/>
        <v>●</v>
      </c>
      <c r="Q15" s="8" t="str">
        <f t="shared" si="0"/>
        <v>●</v>
      </c>
      <c r="R15" s="8" t="str">
        <f t="shared" si="0"/>
        <v/>
      </c>
      <c r="S15" s="8" t="str">
        <f t="shared" si="0"/>
        <v/>
      </c>
    </row>
    <row r="16" spans="1:19" ht="49.75" customHeight="1">
      <c r="A16" s="8" t="s">
        <v>260</v>
      </c>
      <c r="B16" s="8" t="s">
        <v>291</v>
      </c>
      <c r="C16" s="8" t="s">
        <v>128</v>
      </c>
      <c r="D16" s="8">
        <v>10</v>
      </c>
      <c r="E16" s="8">
        <v>11</v>
      </c>
      <c r="F16" s="8">
        <v>5</v>
      </c>
      <c r="G16" s="8" t="s">
        <v>3</v>
      </c>
      <c r="H16" s="8" t="str">
        <f t="shared" si="0"/>
        <v/>
      </c>
      <c r="I16" s="8" t="str">
        <f t="shared" si="0"/>
        <v/>
      </c>
      <c r="J16" s="8" t="str">
        <f t="shared" si="0"/>
        <v/>
      </c>
      <c r="K16" s="8" t="str">
        <f t="shared" si="0"/>
        <v/>
      </c>
      <c r="L16" s="8" t="str">
        <f t="shared" si="0"/>
        <v/>
      </c>
      <c r="M16" s="8" t="str">
        <f t="shared" si="0"/>
        <v/>
      </c>
      <c r="N16" s="8" t="str">
        <f t="shared" si="0"/>
        <v/>
      </c>
      <c r="O16" s="8" t="str">
        <f t="shared" si="0"/>
        <v/>
      </c>
      <c r="P16" s="8" t="str">
        <f t="shared" si="0"/>
        <v/>
      </c>
      <c r="Q16" s="8" t="str">
        <f t="shared" si="0"/>
        <v>●</v>
      </c>
      <c r="R16" s="8" t="str">
        <f t="shared" si="0"/>
        <v>●</v>
      </c>
      <c r="S16" s="8" t="str">
        <f t="shared" si="0"/>
        <v/>
      </c>
    </row>
    <row r="17" spans="1:19" ht="49.75" customHeight="1">
      <c r="A17" s="8" t="s">
        <v>260</v>
      </c>
      <c r="B17" s="8" t="s">
        <v>292</v>
      </c>
      <c r="C17" s="8" t="s">
        <v>173</v>
      </c>
      <c r="D17" s="8">
        <v>11</v>
      </c>
      <c r="E17" s="8">
        <v>11</v>
      </c>
      <c r="F17" s="8">
        <v>5</v>
      </c>
      <c r="G17" s="8" t="s">
        <v>3</v>
      </c>
      <c r="H17" s="8" t="str">
        <f t="shared" si="0"/>
        <v/>
      </c>
      <c r="I17" s="8" t="str">
        <f t="shared" si="0"/>
        <v/>
      </c>
      <c r="J17" s="8" t="str">
        <f t="shared" si="0"/>
        <v/>
      </c>
      <c r="K17" s="8" t="str">
        <f t="shared" si="0"/>
        <v/>
      </c>
      <c r="L17" s="8" t="str">
        <f t="shared" si="0"/>
        <v/>
      </c>
      <c r="M17" s="8" t="str">
        <f t="shared" si="0"/>
        <v/>
      </c>
      <c r="N17" s="8" t="str">
        <f t="shared" si="0"/>
        <v/>
      </c>
      <c r="O17" s="8" t="str">
        <f t="shared" si="0"/>
        <v/>
      </c>
      <c r="P17" s="8" t="str">
        <f t="shared" si="0"/>
        <v/>
      </c>
      <c r="Q17" s="8" t="str">
        <f t="shared" si="0"/>
        <v/>
      </c>
      <c r="R17" s="8" t="str">
        <f t="shared" si="0"/>
        <v>●</v>
      </c>
      <c r="S17" s="8" t="str">
        <f t="shared" si="0"/>
        <v/>
      </c>
    </row>
    <row r="18" spans="1:19" ht="49.75" customHeight="1">
      <c r="A18" s="8" t="s">
        <v>267</v>
      </c>
      <c r="B18" s="8" t="s">
        <v>293</v>
      </c>
      <c r="C18" s="8" t="s">
        <v>269</v>
      </c>
      <c r="D18" s="8">
        <v>12</v>
      </c>
      <c r="E18" s="8">
        <v>12</v>
      </c>
      <c r="F18" s="8">
        <v>3</v>
      </c>
      <c r="G18" s="8" t="s">
        <v>3</v>
      </c>
      <c r="H18" s="8" t="str">
        <f t="shared" si="0"/>
        <v/>
      </c>
      <c r="I18" s="8" t="str">
        <f t="shared" si="0"/>
        <v/>
      </c>
      <c r="J18" s="8" t="str">
        <f t="shared" si="0"/>
        <v/>
      </c>
      <c r="K18" s="8" t="str">
        <f t="shared" si="0"/>
        <v/>
      </c>
      <c r="L18" s="8" t="str">
        <f t="shared" si="0"/>
        <v/>
      </c>
      <c r="M18" s="8" t="str">
        <f t="shared" si="0"/>
        <v/>
      </c>
      <c r="N18" s="8" t="str">
        <f t="shared" si="0"/>
        <v/>
      </c>
      <c r="O18" s="8" t="str">
        <f t="shared" si="0"/>
        <v/>
      </c>
      <c r="P18" s="8" t="str">
        <f t="shared" si="0"/>
        <v/>
      </c>
      <c r="Q18" s="8" t="str">
        <f t="shared" si="0"/>
        <v/>
      </c>
      <c r="R18" s="8" t="str">
        <f t="shared" si="0"/>
        <v/>
      </c>
      <c r="S18" s="8" t="str">
        <f t="shared" si="0"/>
        <v>●</v>
      </c>
    </row>
    <row r="19" spans="1:19" ht="49.75" customHeight="1">
      <c r="A19" s="8" t="s">
        <v>267</v>
      </c>
      <c r="B19" s="8" t="s">
        <v>294</v>
      </c>
      <c r="C19" s="8" t="s">
        <v>128</v>
      </c>
      <c r="D19" s="8">
        <v>11</v>
      </c>
      <c r="E19" s="8">
        <v>12</v>
      </c>
      <c r="F19" s="8">
        <v>5</v>
      </c>
      <c r="G19" s="8" t="s">
        <v>1</v>
      </c>
      <c r="H19" s="8" t="str">
        <f t="shared" si="0"/>
        <v/>
      </c>
      <c r="I19" s="8" t="str">
        <f t="shared" si="0"/>
        <v/>
      </c>
      <c r="J19" s="8" t="str">
        <f t="shared" si="0"/>
        <v/>
      </c>
      <c r="K19" s="8" t="str">
        <f t="shared" si="0"/>
        <v/>
      </c>
      <c r="L19" s="8" t="str">
        <f t="shared" si="0"/>
        <v/>
      </c>
      <c r="M19" s="8" t="str">
        <f t="shared" si="0"/>
        <v/>
      </c>
      <c r="N19" s="8" t="str">
        <f t="shared" si="0"/>
        <v/>
      </c>
      <c r="O19" s="8" t="str">
        <f t="shared" si="0"/>
        <v/>
      </c>
      <c r="P19" s="8" t="str">
        <f t="shared" si="0"/>
        <v/>
      </c>
      <c r="Q19" s="8" t="str">
        <f t="shared" si="0"/>
        <v/>
      </c>
      <c r="R19" s="8" t="str">
        <f t="shared" si="0"/>
        <v>●</v>
      </c>
      <c r="S19" s="8" t="str">
        <f t="shared" si="0"/>
        <v>●</v>
      </c>
    </row>
    <row r="20" spans="1:19" ht="49.75" customHeight="1">
      <c r="A20" s="8" t="s">
        <v>275</v>
      </c>
      <c r="B20" s="8" t="s">
        <v>295</v>
      </c>
      <c r="C20" s="8" t="s">
        <v>128</v>
      </c>
      <c r="D20" s="8">
        <v>12</v>
      </c>
      <c r="E20" s="8">
        <v>12</v>
      </c>
      <c r="F20" s="8">
        <v>3</v>
      </c>
      <c r="G20" s="8" t="s">
        <v>3</v>
      </c>
      <c r="H20" s="8" t="str">
        <f t="shared" si="0"/>
        <v/>
      </c>
      <c r="I20" s="8" t="str">
        <f t="shared" si="0"/>
        <v/>
      </c>
      <c r="J20" s="8" t="str">
        <f t="shared" si="0"/>
        <v/>
      </c>
      <c r="K20" s="8" t="str">
        <f t="shared" si="0"/>
        <v/>
      </c>
      <c r="L20" s="8" t="str">
        <f t="shared" si="0"/>
        <v/>
      </c>
      <c r="M20" s="8" t="str">
        <f t="shared" si="0"/>
        <v/>
      </c>
      <c r="N20" s="8" t="str">
        <f t="shared" si="0"/>
        <v/>
      </c>
      <c r="O20" s="8" t="str">
        <f t="shared" si="0"/>
        <v/>
      </c>
      <c r="P20" s="8" t="str">
        <f t="shared" si="0"/>
        <v/>
      </c>
      <c r="Q20" s="8" t="str">
        <f t="shared" si="0"/>
        <v/>
      </c>
      <c r="R20" s="8" t="str">
        <f t="shared" si="0"/>
        <v/>
      </c>
      <c r="S20" s="8" t="str">
        <f t="shared" si="0"/>
        <v>●</v>
      </c>
    </row>
    <row r="21" spans="1:19" ht="32" customHeight="1">
      <c r="A21" s="21" t="s">
        <v>114</v>
      </c>
      <c r="B21" s="21"/>
      <c r="C21" s="21"/>
      <c r="D21" s="21"/>
      <c r="E21" s="21"/>
      <c r="F21" s="21"/>
      <c r="G21" s="21"/>
      <c r="H21" s="21"/>
      <c r="I21" s="21"/>
      <c r="J21" s="21"/>
      <c r="K21" s="21"/>
      <c r="L21" s="21"/>
      <c r="M21" s="21"/>
      <c r="N21" s="21"/>
      <c r="O21" s="21"/>
      <c r="P21" s="21"/>
      <c r="Q21" s="21"/>
      <c r="R21" s="21"/>
      <c r="S21" s="21"/>
    </row>
  </sheetData>
  <mergeCells count="4">
    <mergeCell ref="A1:S1"/>
    <mergeCell ref="A2:S2"/>
    <mergeCell ref="A3:S3"/>
    <mergeCell ref="A21:S21"/>
  </mergeCells>
  <conditionalFormatting sqref="G6:G20">
    <cfRule type="expression" dxfId="97" priority="2">
      <formula>G6="Complete"</formula>
    </cfRule>
    <cfRule type="expression" dxfId="96" priority="3">
      <formula>G6="On Track"</formula>
    </cfRule>
    <cfRule type="expression" dxfId="95" priority="4">
      <formula>G6="Approved"</formula>
    </cfRule>
    <cfRule type="expression" dxfId="94" priority="5">
      <formula>G6="Confirmed"</formula>
    </cfRule>
    <cfRule type="expression" dxfId="93" priority="6">
      <formula>G6="Available"</formula>
    </cfRule>
    <cfRule type="expression" dxfId="92" priority="7">
      <formula>G6="In Progress"</formula>
    </cfRule>
    <cfRule type="expression" dxfId="91" priority="8">
      <formula>G6="Watch"</formula>
    </cfRule>
    <cfRule type="expression" dxfId="90" priority="9">
      <formula>G6="Pending"</formula>
    </cfRule>
    <cfRule type="expression" dxfId="89" priority="10">
      <formula>G6="Open"</formula>
    </cfRule>
    <cfRule type="expression" dxfId="88" priority="11">
      <formula>G6="At Risk"</formula>
    </cfRule>
    <cfRule type="expression" dxfId="87" priority="12">
      <formula>G6="Critical"</formula>
    </cfRule>
    <cfRule type="expression" dxfId="86" priority="13">
      <formula>G6="Not Started"</formula>
    </cfRule>
    <cfRule type="expression" dxfId="85" priority="14">
      <formula>G6="In Review"</formula>
    </cfRule>
  </conditionalFormatting>
  <conditionalFormatting sqref="H6:S20">
    <cfRule type="expression" dxfId="84" priority="1">
      <formula>H6="●"</formula>
    </cfRule>
  </conditionalFormatting>
  <pageMargins left="0.7" right="0.7" top="0.75" bottom="0.75" header="0.3" footer="0.3"/>
  <pageSetup scale="50" orientation="landscape"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J41"/>
  <sheetViews>
    <sheetView showGridLines="0" workbookViewId="0">
      <selection activeCell="A41" sqref="A1:J41"/>
    </sheetView>
  </sheetViews>
  <sheetFormatPr baseColWidth="10" defaultColWidth="8.83203125" defaultRowHeight="15"/>
  <cols>
    <col min="1" max="1" width="32" customWidth="1"/>
    <col min="2" max="2" width="19" customWidth="1"/>
    <col min="3" max="3" width="20" customWidth="1"/>
    <col min="4" max="4" width="24" customWidth="1"/>
    <col min="5" max="5" width="20" customWidth="1"/>
    <col min="6" max="6" width="16" customWidth="1"/>
    <col min="7" max="8" width="4" customWidth="1"/>
    <col min="9" max="10" width="18" customWidth="1"/>
  </cols>
  <sheetData>
    <row r="1" spans="1:10" ht="55" customHeight="1">
      <c r="A1" s="18" t="s">
        <v>95</v>
      </c>
      <c r="B1" s="18"/>
      <c r="C1" s="18"/>
      <c r="D1" s="18"/>
      <c r="E1" s="18"/>
      <c r="F1" s="18"/>
      <c r="G1" s="18"/>
      <c r="H1" s="18"/>
      <c r="I1" s="18"/>
      <c r="J1" s="18"/>
    </row>
    <row r="2" spans="1:10" ht="39" customHeight="1">
      <c r="A2" s="22" t="s">
        <v>296</v>
      </c>
      <c r="B2" s="22"/>
      <c r="C2" s="22"/>
      <c r="D2" s="22"/>
      <c r="E2" s="22"/>
      <c r="F2" s="22"/>
      <c r="G2" s="22"/>
      <c r="H2" s="22"/>
      <c r="I2" s="22"/>
      <c r="J2" s="22"/>
    </row>
    <row r="3" spans="1:10" ht="9" customHeight="1">
      <c r="A3" s="6"/>
      <c r="B3" s="6"/>
      <c r="C3" s="6"/>
      <c r="D3" s="6"/>
      <c r="E3" s="6"/>
      <c r="F3" s="6"/>
      <c r="G3" s="6"/>
      <c r="H3" s="6"/>
      <c r="I3" s="6"/>
      <c r="J3" s="6"/>
    </row>
    <row r="4" spans="1:10">
      <c r="A4" s="11"/>
      <c r="B4" s="11"/>
      <c r="C4" s="11"/>
      <c r="D4" s="11"/>
      <c r="E4" s="11"/>
      <c r="F4" s="11"/>
      <c r="G4" s="11"/>
      <c r="H4" s="11"/>
      <c r="I4" s="11"/>
      <c r="J4" s="11"/>
    </row>
    <row r="5" spans="1:10" ht="32" customHeight="1">
      <c r="A5" s="1" t="s">
        <v>106</v>
      </c>
      <c r="B5" s="1"/>
      <c r="C5" s="1" t="s">
        <v>109</v>
      </c>
      <c r="D5" s="1"/>
      <c r="E5" s="1" t="s">
        <v>112</v>
      </c>
      <c r="F5" s="1"/>
      <c r="G5" s="1" t="s">
        <v>297</v>
      </c>
      <c r="H5" s="1"/>
      <c r="I5" s="1" t="s">
        <v>298</v>
      </c>
      <c r="J5" s="1"/>
    </row>
    <row r="6" spans="1:10" ht="49.75" customHeight="1">
      <c r="A6" s="24">
        <f>SUM(B11:B16)</f>
        <v>175000</v>
      </c>
      <c r="B6" s="24"/>
      <c r="C6" s="24">
        <f>SUM(C11:C16)</f>
        <v>66000</v>
      </c>
      <c r="D6" s="24"/>
      <c r="E6" s="24">
        <f>SUM(D11:D16)</f>
        <v>179000</v>
      </c>
      <c r="F6" s="24"/>
      <c r="G6" s="24">
        <f>SUM(E11:E16)</f>
        <v>-4000</v>
      </c>
      <c r="H6" s="24"/>
      <c r="I6" s="3" t="str">
        <f>IF(E18&gt;=0,"On Track","At Risk")</f>
        <v>At Risk</v>
      </c>
      <c r="J6" s="3"/>
    </row>
    <row r="7" spans="1:10" ht="49.75" customHeight="1">
      <c r="A7" s="4" t="s">
        <v>299</v>
      </c>
      <c r="B7" s="4"/>
      <c r="C7" s="4" t="s">
        <v>300</v>
      </c>
      <c r="D7" s="4"/>
      <c r="E7" s="4" t="s">
        <v>301</v>
      </c>
      <c r="F7" s="4"/>
      <c r="G7" s="4" t="s">
        <v>302</v>
      </c>
      <c r="H7" s="4"/>
      <c r="I7" s="4" t="s">
        <v>303</v>
      </c>
      <c r="J7" s="4"/>
    </row>
    <row r="8" spans="1:10">
      <c r="A8" s="11"/>
      <c r="B8" s="11"/>
      <c r="C8" s="11"/>
      <c r="D8" s="11"/>
      <c r="E8" s="11"/>
      <c r="F8" s="11"/>
      <c r="G8" s="11"/>
      <c r="H8" s="11"/>
      <c r="I8" s="11"/>
      <c r="J8" s="11"/>
    </row>
    <row r="9" spans="1:10">
      <c r="A9" s="11"/>
      <c r="B9" s="11"/>
      <c r="C9" s="11"/>
      <c r="D9" s="11"/>
      <c r="E9" s="11"/>
      <c r="F9" s="11"/>
      <c r="G9" s="11"/>
      <c r="H9" s="11"/>
      <c r="I9" s="11"/>
      <c r="J9" s="11"/>
    </row>
    <row r="10" spans="1:10" ht="55" customHeight="1">
      <c r="A10" s="5" t="s">
        <v>304</v>
      </c>
      <c r="B10" s="5" t="s">
        <v>106</v>
      </c>
      <c r="C10" s="5" t="s">
        <v>109</v>
      </c>
      <c r="D10" s="5" t="s">
        <v>112</v>
      </c>
      <c r="E10" s="5" t="s">
        <v>297</v>
      </c>
      <c r="F10" s="5" t="s">
        <v>8</v>
      </c>
      <c r="G10" s="11"/>
      <c r="H10" s="11"/>
      <c r="I10" s="11"/>
      <c r="J10" s="11"/>
    </row>
    <row r="11" spans="1:10" ht="55" customHeight="1">
      <c r="A11" s="8" t="s">
        <v>305</v>
      </c>
      <c r="B11" s="10">
        <v>26000</v>
      </c>
      <c r="C11" s="10">
        <v>26000</v>
      </c>
      <c r="D11" s="10">
        <v>26000</v>
      </c>
      <c r="E11" s="10">
        <f t="shared" ref="E11:E16" si="0">B11-D11</f>
        <v>0</v>
      </c>
      <c r="F11" s="8" t="s">
        <v>0</v>
      </c>
      <c r="G11" s="11"/>
      <c r="H11" s="11"/>
      <c r="I11" s="11"/>
      <c r="J11" s="11"/>
    </row>
    <row r="12" spans="1:10" ht="55" customHeight="1">
      <c r="A12" s="8" t="s">
        <v>306</v>
      </c>
      <c r="B12" s="10">
        <v>22000</v>
      </c>
      <c r="C12" s="10">
        <v>14000</v>
      </c>
      <c r="D12" s="10">
        <v>24000</v>
      </c>
      <c r="E12" s="10">
        <f t="shared" si="0"/>
        <v>-2000</v>
      </c>
      <c r="F12" s="8" t="s">
        <v>1</v>
      </c>
      <c r="G12" s="11"/>
      <c r="H12" s="11"/>
      <c r="I12" s="11"/>
      <c r="J12" s="11"/>
    </row>
    <row r="13" spans="1:10" ht="55" customHeight="1">
      <c r="A13" s="8" t="s">
        <v>307</v>
      </c>
      <c r="B13" s="10">
        <v>30000</v>
      </c>
      <c r="C13" s="10">
        <v>18000</v>
      </c>
      <c r="D13" s="10">
        <v>34000</v>
      </c>
      <c r="E13" s="10">
        <f t="shared" si="0"/>
        <v>-4000</v>
      </c>
      <c r="F13" s="8" t="s">
        <v>2</v>
      </c>
      <c r="G13" s="11"/>
      <c r="H13" s="11"/>
      <c r="I13" s="11"/>
      <c r="J13" s="11"/>
    </row>
    <row r="14" spans="1:10" ht="55" customHeight="1">
      <c r="A14" s="8" t="s">
        <v>308</v>
      </c>
      <c r="B14" s="10">
        <v>31000</v>
      </c>
      <c r="C14" s="10">
        <v>5000</v>
      </c>
      <c r="D14" s="10">
        <v>31000</v>
      </c>
      <c r="E14" s="10">
        <f t="shared" si="0"/>
        <v>0</v>
      </c>
      <c r="F14" s="8" t="s">
        <v>1</v>
      </c>
      <c r="G14" s="11"/>
      <c r="H14" s="11"/>
      <c r="I14" s="11"/>
      <c r="J14" s="11"/>
    </row>
    <row r="15" spans="1:10" ht="55" customHeight="1">
      <c r="A15" s="8" t="s">
        <v>309</v>
      </c>
      <c r="B15" s="10">
        <v>48000</v>
      </c>
      <c r="C15" s="10">
        <v>3000</v>
      </c>
      <c r="D15" s="10">
        <v>52000</v>
      </c>
      <c r="E15" s="10">
        <f t="shared" si="0"/>
        <v>-4000</v>
      </c>
      <c r="F15" s="8" t="s">
        <v>2</v>
      </c>
      <c r="G15" s="11"/>
      <c r="H15" s="11"/>
      <c r="I15" s="11"/>
      <c r="J15" s="11"/>
    </row>
    <row r="16" spans="1:10" ht="55" customHeight="1">
      <c r="A16" s="8" t="s">
        <v>310</v>
      </c>
      <c r="B16" s="10">
        <v>18000</v>
      </c>
      <c r="C16" s="10">
        <v>0</v>
      </c>
      <c r="D16" s="10">
        <v>12000</v>
      </c>
      <c r="E16" s="10">
        <f t="shared" si="0"/>
        <v>6000</v>
      </c>
      <c r="F16" s="8" t="s">
        <v>311</v>
      </c>
      <c r="G16" s="11"/>
      <c r="H16" s="11"/>
      <c r="I16" s="11"/>
      <c r="J16" s="11"/>
    </row>
    <row r="17" spans="1:10" ht="55" customHeight="1">
      <c r="A17" s="8"/>
      <c r="B17" s="10"/>
      <c r="C17" s="10"/>
      <c r="D17" s="10"/>
      <c r="E17" s="10"/>
      <c r="F17" s="8"/>
      <c r="G17" s="11"/>
      <c r="H17" s="11"/>
      <c r="I17" s="11"/>
      <c r="J17" s="11"/>
    </row>
    <row r="18" spans="1:10" ht="55" customHeight="1">
      <c r="A18" s="13" t="s">
        <v>312</v>
      </c>
      <c r="B18" s="25">
        <f>SUM(B11:B16)</f>
        <v>175000</v>
      </c>
      <c r="C18" s="25">
        <f>SUM(C11:C16)</f>
        <v>66000</v>
      </c>
      <c r="D18" s="25">
        <f>SUM(D11:D16)</f>
        <v>179000</v>
      </c>
      <c r="E18" s="25">
        <f>SUM(E11:E16)</f>
        <v>-4000</v>
      </c>
      <c r="F18" s="13"/>
      <c r="G18" s="11"/>
      <c r="H18" s="11"/>
      <c r="I18" s="11"/>
      <c r="J18" s="11"/>
    </row>
    <row r="19" spans="1:10">
      <c r="A19" s="11"/>
      <c r="B19" s="11"/>
      <c r="C19" s="11"/>
      <c r="D19" s="11"/>
      <c r="E19" s="11"/>
      <c r="F19" s="11"/>
      <c r="G19" s="11"/>
      <c r="H19" s="11"/>
      <c r="I19" s="11"/>
      <c r="J19" s="11"/>
    </row>
    <row r="20" spans="1:10">
      <c r="A20" s="11"/>
      <c r="B20" s="11"/>
      <c r="C20" s="11"/>
      <c r="D20" s="11"/>
      <c r="E20" s="11"/>
      <c r="F20" s="11"/>
      <c r="G20" s="11"/>
      <c r="H20" s="11"/>
      <c r="I20" s="11"/>
      <c r="J20" s="11"/>
    </row>
    <row r="21" spans="1:10">
      <c r="A21" s="11"/>
      <c r="B21" s="11"/>
      <c r="C21" s="11"/>
      <c r="D21" s="11"/>
      <c r="E21" s="11"/>
      <c r="F21" s="11"/>
      <c r="G21" s="11"/>
      <c r="H21" s="11"/>
      <c r="I21" s="11"/>
      <c r="J21" s="11"/>
    </row>
    <row r="22" spans="1:10">
      <c r="A22" s="11"/>
      <c r="B22" s="11"/>
      <c r="C22" s="11"/>
      <c r="D22" s="11"/>
      <c r="E22" s="11"/>
      <c r="F22" s="11"/>
      <c r="G22" s="11"/>
      <c r="H22" s="11"/>
      <c r="I22" s="11"/>
      <c r="J22" s="11"/>
    </row>
    <row r="23" spans="1:10">
      <c r="A23" s="11"/>
      <c r="B23" s="11"/>
      <c r="C23" s="11"/>
      <c r="D23" s="11"/>
      <c r="E23" s="11"/>
      <c r="F23" s="11"/>
      <c r="G23" s="11"/>
      <c r="H23" s="11"/>
      <c r="I23" s="11"/>
      <c r="J23" s="11"/>
    </row>
    <row r="24" spans="1:10">
      <c r="A24" s="11"/>
      <c r="B24" s="11"/>
      <c r="C24" s="11"/>
      <c r="D24" s="11"/>
      <c r="E24" s="11"/>
      <c r="F24" s="11"/>
      <c r="G24" s="11"/>
      <c r="H24" s="11"/>
      <c r="I24" s="11"/>
      <c r="J24" s="11"/>
    </row>
    <row r="25" spans="1:10">
      <c r="A25" s="11"/>
      <c r="B25" s="11"/>
      <c r="C25" s="11"/>
      <c r="D25" s="11"/>
      <c r="E25" s="11"/>
      <c r="F25" s="11"/>
      <c r="G25" s="11"/>
      <c r="H25" s="11"/>
      <c r="I25" s="11"/>
      <c r="J25" s="11"/>
    </row>
    <row r="26" spans="1:10">
      <c r="A26" s="11"/>
      <c r="B26" s="11"/>
      <c r="C26" s="11"/>
      <c r="D26" s="11"/>
      <c r="E26" s="11"/>
      <c r="F26" s="11"/>
      <c r="G26" s="11"/>
      <c r="H26" s="11"/>
      <c r="I26" s="11"/>
      <c r="J26" s="11"/>
    </row>
    <row r="27" spans="1:10">
      <c r="A27" s="11"/>
      <c r="B27" s="11"/>
      <c r="C27" s="11"/>
      <c r="D27" s="11"/>
      <c r="E27" s="11"/>
      <c r="F27" s="11"/>
      <c r="G27" s="11"/>
      <c r="H27" s="11"/>
      <c r="I27" s="11"/>
      <c r="J27" s="11"/>
    </row>
    <row r="28" spans="1:10">
      <c r="A28" s="11"/>
      <c r="B28" s="11"/>
      <c r="C28" s="11"/>
      <c r="D28" s="11"/>
      <c r="E28" s="11"/>
      <c r="F28" s="11"/>
      <c r="G28" s="11"/>
      <c r="H28" s="11"/>
      <c r="I28" s="11"/>
      <c r="J28" s="11"/>
    </row>
    <row r="29" spans="1:10">
      <c r="A29" s="11"/>
      <c r="B29" s="11"/>
      <c r="C29" s="11"/>
      <c r="D29" s="11"/>
      <c r="E29" s="11"/>
      <c r="F29" s="11"/>
      <c r="G29" s="11"/>
      <c r="H29" s="11"/>
      <c r="I29" s="11"/>
      <c r="J29" s="11"/>
    </row>
    <row r="30" spans="1:10">
      <c r="A30" s="11"/>
      <c r="B30" s="11"/>
      <c r="C30" s="11"/>
      <c r="D30" s="11"/>
      <c r="E30" s="11"/>
      <c r="F30" s="11"/>
      <c r="G30" s="11"/>
      <c r="H30" s="11"/>
      <c r="I30" s="11"/>
      <c r="J30" s="11"/>
    </row>
    <row r="31" spans="1:10">
      <c r="A31" s="11"/>
      <c r="B31" s="11"/>
      <c r="C31" s="11"/>
      <c r="D31" s="11"/>
      <c r="E31" s="11"/>
      <c r="F31" s="11"/>
      <c r="G31" s="11"/>
      <c r="H31" s="11"/>
      <c r="I31" s="11"/>
      <c r="J31" s="11"/>
    </row>
    <row r="32" spans="1:10">
      <c r="A32" s="11"/>
      <c r="B32" s="11"/>
      <c r="C32" s="11"/>
      <c r="D32" s="11"/>
      <c r="E32" s="11"/>
      <c r="F32" s="11"/>
      <c r="G32" s="11"/>
      <c r="H32" s="11"/>
      <c r="I32" s="11"/>
      <c r="J32" s="11"/>
    </row>
    <row r="33" spans="1:10">
      <c r="A33" s="11"/>
      <c r="B33" s="11"/>
      <c r="C33" s="11"/>
      <c r="D33" s="11"/>
      <c r="E33" s="11"/>
      <c r="F33" s="11"/>
      <c r="G33" s="11"/>
      <c r="H33" s="11"/>
      <c r="I33" s="11"/>
      <c r="J33" s="11"/>
    </row>
    <row r="34" spans="1:10">
      <c r="A34" s="11"/>
      <c r="B34" s="11"/>
      <c r="C34" s="11"/>
      <c r="D34" s="11"/>
      <c r="E34" s="11"/>
      <c r="F34" s="11"/>
      <c r="G34" s="11"/>
      <c r="H34" s="11"/>
      <c r="I34" s="11"/>
      <c r="J34" s="11"/>
    </row>
    <row r="35" spans="1:10">
      <c r="A35" s="11"/>
      <c r="B35" s="11"/>
      <c r="C35" s="11"/>
      <c r="D35" s="11"/>
      <c r="E35" s="11"/>
      <c r="F35" s="11"/>
      <c r="G35" s="11"/>
      <c r="H35" s="11"/>
      <c r="I35" s="11"/>
      <c r="J35" s="11"/>
    </row>
    <row r="36" spans="1:10">
      <c r="A36" s="11"/>
      <c r="B36" s="11"/>
      <c r="C36" s="11"/>
      <c r="D36" s="11"/>
      <c r="E36" s="11"/>
      <c r="F36" s="11"/>
      <c r="G36" s="11"/>
      <c r="H36" s="11"/>
      <c r="I36" s="11"/>
      <c r="J36" s="11"/>
    </row>
    <row r="37" spans="1:10">
      <c r="A37" s="11"/>
      <c r="B37" s="11"/>
      <c r="C37" s="11"/>
      <c r="D37" s="11"/>
      <c r="E37" s="11"/>
      <c r="F37" s="11"/>
      <c r="G37" s="11"/>
      <c r="H37" s="11"/>
      <c r="I37" s="11"/>
      <c r="J37" s="11"/>
    </row>
    <row r="38" spans="1:10">
      <c r="A38" s="11"/>
      <c r="B38" s="11"/>
      <c r="C38" s="11"/>
      <c r="D38" s="11"/>
      <c r="E38" s="11"/>
      <c r="F38" s="11"/>
      <c r="G38" s="11"/>
      <c r="H38" s="11"/>
      <c r="I38" s="11"/>
      <c r="J38" s="11"/>
    </row>
    <row r="39" spans="1:10">
      <c r="A39" s="11"/>
      <c r="B39" s="11"/>
      <c r="C39" s="11"/>
      <c r="D39" s="11"/>
      <c r="E39" s="11"/>
      <c r="F39" s="11"/>
      <c r="G39" s="11"/>
      <c r="H39" s="11"/>
      <c r="I39" s="11"/>
      <c r="J39" s="11"/>
    </row>
    <row r="40" spans="1:10">
      <c r="A40" s="11"/>
      <c r="B40" s="11"/>
      <c r="C40" s="11"/>
      <c r="D40" s="11"/>
      <c r="E40" s="11"/>
      <c r="F40" s="11"/>
      <c r="G40" s="11"/>
      <c r="H40" s="11"/>
      <c r="I40" s="11"/>
      <c r="J40" s="11"/>
    </row>
    <row r="41" spans="1:10" ht="32" customHeight="1">
      <c r="A41" s="21" t="s">
        <v>114</v>
      </c>
      <c r="B41" s="21"/>
      <c r="C41" s="21"/>
      <c r="D41" s="21"/>
      <c r="E41" s="21"/>
      <c r="F41" s="21"/>
      <c r="G41" s="21"/>
      <c r="H41" s="21"/>
      <c r="I41" s="21"/>
      <c r="J41" s="21"/>
    </row>
  </sheetData>
  <mergeCells count="19">
    <mergeCell ref="A1:J1"/>
    <mergeCell ref="A2:J2"/>
    <mergeCell ref="A3:J3"/>
    <mergeCell ref="A41:J41"/>
    <mergeCell ref="A5:B5"/>
    <mergeCell ref="A6:B6"/>
    <mergeCell ref="A7:B7"/>
    <mergeCell ref="C5:D5"/>
    <mergeCell ref="C6:D6"/>
    <mergeCell ref="C7:D7"/>
    <mergeCell ref="E5:F5"/>
    <mergeCell ref="E6:F6"/>
    <mergeCell ref="E7:F7"/>
    <mergeCell ref="G5:H5"/>
    <mergeCell ref="G6:H6"/>
    <mergeCell ref="G7:H7"/>
    <mergeCell ref="I5:J5"/>
    <mergeCell ref="I6:J6"/>
    <mergeCell ref="I7:J7"/>
  </mergeCells>
  <conditionalFormatting sqref="E11:E16">
    <cfRule type="expression" dxfId="83" priority="14">
      <formula>E11&lt;0</formula>
    </cfRule>
    <cfRule type="expression" dxfId="82" priority="15">
      <formula>E11&gt;=0</formula>
    </cfRule>
  </conditionalFormatting>
  <conditionalFormatting sqref="F11:F16">
    <cfRule type="expression" dxfId="81" priority="1">
      <formula>F11="Complete"</formula>
    </cfRule>
    <cfRule type="expression" dxfId="80" priority="2">
      <formula>F11="On Track"</formula>
    </cfRule>
    <cfRule type="expression" dxfId="79" priority="3">
      <formula>F11="Approved"</formula>
    </cfRule>
    <cfRule type="expression" dxfId="78" priority="4">
      <formula>F11="Confirmed"</formula>
    </cfRule>
    <cfRule type="expression" dxfId="77" priority="5">
      <formula>F11="Available"</formula>
    </cfRule>
    <cfRule type="expression" dxfId="76" priority="6">
      <formula>F11="In Progress"</formula>
    </cfRule>
    <cfRule type="expression" dxfId="75" priority="7">
      <formula>F11="Watch"</formula>
    </cfRule>
    <cfRule type="expression" dxfId="74" priority="8">
      <formula>F11="Pending"</formula>
    </cfRule>
    <cfRule type="expression" dxfId="73" priority="9">
      <formula>F11="Open"</formula>
    </cfRule>
    <cfRule type="expression" dxfId="72" priority="10">
      <formula>F11="At Risk"</formula>
    </cfRule>
    <cfRule type="expression" dxfId="71" priority="11">
      <formula>F11="Critical"</formula>
    </cfRule>
    <cfRule type="expression" dxfId="70" priority="12">
      <formula>F11="Not Started"</formula>
    </cfRule>
    <cfRule type="expression" dxfId="69" priority="13">
      <formula>F11="In Review"</formula>
    </cfRule>
  </conditionalFormatting>
  <pageMargins left="0.7" right="0.7" top="0.75" bottom="0.75" header="0.3" footer="0.3"/>
  <pageSetup scale="44" orientation="landscape" horizontalDpi="0" verticalDpi="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L14"/>
  <sheetViews>
    <sheetView showGridLines="0" workbookViewId="0">
      <selection sqref="A1:L14"/>
    </sheetView>
  </sheetViews>
  <sheetFormatPr baseColWidth="10" defaultColWidth="8.83203125" defaultRowHeight="15"/>
  <cols>
    <col min="1" max="1" width="13" customWidth="1"/>
    <col min="2" max="2" width="26" customWidth="1"/>
    <col min="3" max="3" width="18" customWidth="1"/>
    <col min="4" max="4" width="22" customWidth="1"/>
    <col min="5" max="5" width="13" customWidth="1"/>
    <col min="6" max="6" width="14" customWidth="1"/>
    <col min="7" max="7" width="18" customWidth="1"/>
    <col min="8" max="8" width="19" customWidth="1"/>
    <col min="9" max="9" width="17" customWidth="1"/>
    <col min="10" max="10" width="20" customWidth="1"/>
    <col min="11" max="11" width="42" customWidth="1"/>
    <col min="12" max="12" width="15" customWidth="1"/>
  </cols>
  <sheetData>
    <row r="1" spans="1:12" ht="55" customHeight="1">
      <c r="A1" s="18" t="s">
        <v>313</v>
      </c>
      <c r="B1" s="18"/>
      <c r="C1" s="18"/>
      <c r="D1" s="18"/>
      <c r="E1" s="18"/>
      <c r="F1" s="18"/>
      <c r="G1" s="18"/>
      <c r="H1" s="18"/>
      <c r="I1" s="18"/>
      <c r="J1" s="18"/>
      <c r="K1" s="18"/>
      <c r="L1" s="18"/>
    </row>
    <row r="2" spans="1:12" ht="39" customHeight="1">
      <c r="A2" s="22" t="s">
        <v>314</v>
      </c>
      <c r="B2" s="22"/>
      <c r="C2" s="22"/>
      <c r="D2" s="22"/>
      <c r="E2" s="22"/>
      <c r="F2" s="22"/>
      <c r="G2" s="22"/>
      <c r="H2" s="22"/>
      <c r="I2" s="22"/>
      <c r="J2" s="22"/>
      <c r="K2" s="22"/>
      <c r="L2" s="22"/>
    </row>
    <row r="3" spans="1:12" ht="9" customHeight="1">
      <c r="A3" s="6"/>
      <c r="B3" s="6"/>
      <c r="C3" s="6"/>
      <c r="D3" s="6"/>
      <c r="E3" s="6"/>
      <c r="F3" s="6"/>
      <c r="G3" s="6"/>
      <c r="H3" s="6"/>
      <c r="I3" s="6"/>
      <c r="J3" s="6"/>
      <c r="K3" s="6"/>
      <c r="L3" s="6"/>
    </row>
    <row r="4" spans="1:12">
      <c r="A4" s="11"/>
      <c r="B4" s="11"/>
      <c r="C4" s="11"/>
      <c r="D4" s="11"/>
      <c r="E4" s="11"/>
      <c r="F4" s="11"/>
      <c r="G4" s="11"/>
      <c r="H4" s="11"/>
      <c r="I4" s="11"/>
      <c r="J4" s="11"/>
      <c r="K4" s="11"/>
      <c r="L4" s="11"/>
    </row>
    <row r="5" spans="1:12" ht="64" customHeight="1">
      <c r="A5" s="5" t="s">
        <v>315</v>
      </c>
      <c r="B5" s="5" t="s">
        <v>316</v>
      </c>
      <c r="C5" s="5" t="s">
        <v>304</v>
      </c>
      <c r="D5" s="5" t="s">
        <v>317</v>
      </c>
      <c r="E5" s="5" t="s">
        <v>318</v>
      </c>
      <c r="F5" s="5" t="s">
        <v>319</v>
      </c>
      <c r="G5" s="5" t="s">
        <v>320</v>
      </c>
      <c r="H5" s="5" t="s">
        <v>321</v>
      </c>
      <c r="I5" s="5" t="s">
        <v>217</v>
      </c>
      <c r="J5" s="5" t="s">
        <v>5</v>
      </c>
      <c r="K5" s="5" t="s">
        <v>322</v>
      </c>
      <c r="L5" s="5" t="s">
        <v>8</v>
      </c>
    </row>
    <row r="6" spans="1:12" ht="64" customHeight="1">
      <c r="A6" s="8" t="s">
        <v>323</v>
      </c>
      <c r="B6" s="8" t="s">
        <v>324</v>
      </c>
      <c r="C6" s="8" t="s">
        <v>325</v>
      </c>
      <c r="D6" s="8" t="s">
        <v>326</v>
      </c>
      <c r="E6" s="8" t="s">
        <v>222</v>
      </c>
      <c r="F6" s="8" t="s">
        <v>327</v>
      </c>
      <c r="G6" s="8" t="s">
        <v>328</v>
      </c>
      <c r="H6" s="8" t="s">
        <v>218</v>
      </c>
      <c r="I6" s="8" t="s">
        <v>222</v>
      </c>
      <c r="J6" s="8" t="s">
        <v>173</v>
      </c>
      <c r="K6" s="8" t="s">
        <v>329</v>
      </c>
      <c r="L6" s="8" t="s">
        <v>330</v>
      </c>
    </row>
    <row r="7" spans="1:12" ht="64" customHeight="1">
      <c r="A7" s="8" t="s">
        <v>331</v>
      </c>
      <c r="B7" s="8" t="s">
        <v>332</v>
      </c>
      <c r="C7" s="8" t="s">
        <v>333</v>
      </c>
      <c r="D7" s="8" t="s">
        <v>334</v>
      </c>
      <c r="E7" s="8" t="s">
        <v>235</v>
      </c>
      <c r="F7" s="8" t="s">
        <v>335</v>
      </c>
      <c r="G7" s="8" t="s">
        <v>336</v>
      </c>
      <c r="H7" s="8" t="s">
        <v>252</v>
      </c>
      <c r="I7" s="8" t="s">
        <v>235</v>
      </c>
      <c r="J7" s="8" t="s">
        <v>43</v>
      </c>
      <c r="K7" s="8" t="s">
        <v>337</v>
      </c>
      <c r="L7" s="8" t="s">
        <v>338</v>
      </c>
    </row>
    <row r="8" spans="1:12" ht="64" customHeight="1">
      <c r="A8" s="8" t="s">
        <v>339</v>
      </c>
      <c r="B8" s="8" t="s">
        <v>340</v>
      </c>
      <c r="C8" s="8" t="s">
        <v>333</v>
      </c>
      <c r="D8" s="8" t="s">
        <v>341</v>
      </c>
      <c r="E8" s="8" t="s">
        <v>342</v>
      </c>
      <c r="F8" s="8" t="s">
        <v>335</v>
      </c>
      <c r="G8" s="8" t="s">
        <v>343</v>
      </c>
      <c r="H8" s="8" t="s">
        <v>256</v>
      </c>
      <c r="I8" s="8" t="s">
        <v>342</v>
      </c>
      <c r="J8" s="8" t="s">
        <v>43</v>
      </c>
      <c r="K8" s="8" t="s">
        <v>344</v>
      </c>
      <c r="L8" s="8" t="s">
        <v>2</v>
      </c>
    </row>
    <row r="9" spans="1:12" ht="64" customHeight="1">
      <c r="A9" s="8" t="s">
        <v>345</v>
      </c>
      <c r="B9" s="8" t="s">
        <v>346</v>
      </c>
      <c r="C9" s="8" t="s">
        <v>347</v>
      </c>
      <c r="D9" s="8" t="s">
        <v>348</v>
      </c>
      <c r="E9" s="8" t="s">
        <v>226</v>
      </c>
      <c r="F9" s="8" t="s">
        <v>335</v>
      </c>
      <c r="G9" s="8" t="s">
        <v>349</v>
      </c>
      <c r="H9" s="8" t="s">
        <v>240</v>
      </c>
      <c r="I9" s="8" t="s">
        <v>226</v>
      </c>
      <c r="J9" s="8" t="s">
        <v>60</v>
      </c>
      <c r="K9" s="8" t="s">
        <v>350</v>
      </c>
      <c r="L9" s="8" t="s">
        <v>351</v>
      </c>
    </row>
    <row r="10" spans="1:12" ht="64" customHeight="1">
      <c r="A10" s="8" t="s">
        <v>352</v>
      </c>
      <c r="B10" s="8" t="s">
        <v>353</v>
      </c>
      <c r="C10" s="8" t="s">
        <v>347</v>
      </c>
      <c r="D10" s="8" t="s">
        <v>354</v>
      </c>
      <c r="E10" s="8" t="s">
        <v>226</v>
      </c>
      <c r="F10" s="8" t="s">
        <v>349</v>
      </c>
      <c r="G10" s="8" t="s">
        <v>355</v>
      </c>
      <c r="H10" s="8" t="s">
        <v>244</v>
      </c>
      <c r="I10" s="8" t="s">
        <v>226</v>
      </c>
      <c r="J10" s="8" t="s">
        <v>356</v>
      </c>
      <c r="K10" s="8" t="s">
        <v>357</v>
      </c>
      <c r="L10" s="8" t="s">
        <v>338</v>
      </c>
    </row>
    <row r="11" spans="1:12" ht="64" customHeight="1">
      <c r="A11" s="8" t="s">
        <v>358</v>
      </c>
      <c r="B11" s="8" t="s">
        <v>359</v>
      </c>
      <c r="C11" s="8" t="s">
        <v>360</v>
      </c>
      <c r="D11" s="8" t="s">
        <v>361</v>
      </c>
      <c r="E11" s="8" t="s">
        <v>235</v>
      </c>
      <c r="F11" s="8" t="s">
        <v>362</v>
      </c>
      <c r="G11" s="8" t="s">
        <v>363</v>
      </c>
      <c r="H11" s="8" t="s">
        <v>248</v>
      </c>
      <c r="I11" s="8" t="s">
        <v>235</v>
      </c>
      <c r="J11" s="8" t="s">
        <v>60</v>
      </c>
      <c r="K11" s="8" t="s">
        <v>364</v>
      </c>
      <c r="L11" s="8" t="s">
        <v>338</v>
      </c>
    </row>
    <row r="12" spans="1:12" ht="64" customHeight="1">
      <c r="A12" s="8" t="s">
        <v>365</v>
      </c>
      <c r="B12" s="8" t="s">
        <v>366</v>
      </c>
      <c r="C12" s="8" t="s">
        <v>360</v>
      </c>
      <c r="D12" s="8" t="s">
        <v>361</v>
      </c>
      <c r="E12" s="8" t="s">
        <v>222</v>
      </c>
      <c r="F12" s="8" t="s">
        <v>336</v>
      </c>
      <c r="G12" s="8" t="s">
        <v>367</v>
      </c>
      <c r="H12" s="8" t="s">
        <v>248</v>
      </c>
      <c r="I12" s="8" t="s">
        <v>222</v>
      </c>
      <c r="J12" s="8" t="s">
        <v>250</v>
      </c>
      <c r="K12" s="8" t="s">
        <v>368</v>
      </c>
      <c r="L12" s="8" t="s">
        <v>330</v>
      </c>
    </row>
    <row r="13" spans="1:12" ht="64" customHeight="1">
      <c r="A13" s="8" t="s">
        <v>369</v>
      </c>
      <c r="B13" s="8" t="s">
        <v>370</v>
      </c>
      <c r="C13" s="8" t="s">
        <v>371</v>
      </c>
      <c r="D13" s="8" t="s">
        <v>372</v>
      </c>
      <c r="E13" s="8" t="s">
        <v>226</v>
      </c>
      <c r="F13" s="8" t="s">
        <v>373</v>
      </c>
      <c r="G13" s="8" t="s">
        <v>374</v>
      </c>
      <c r="H13" s="8" t="s">
        <v>266</v>
      </c>
      <c r="I13" s="8" t="s">
        <v>226</v>
      </c>
      <c r="J13" s="8" t="s">
        <v>128</v>
      </c>
      <c r="K13" s="8" t="s">
        <v>375</v>
      </c>
      <c r="L13" s="8" t="s">
        <v>3</v>
      </c>
    </row>
    <row r="14" spans="1:12" ht="32" customHeight="1">
      <c r="A14" s="21" t="s">
        <v>114</v>
      </c>
      <c r="B14" s="21"/>
      <c r="C14" s="21"/>
      <c r="D14" s="21"/>
      <c r="E14" s="21"/>
      <c r="F14" s="21"/>
      <c r="G14" s="21"/>
      <c r="H14" s="21"/>
      <c r="I14" s="21"/>
      <c r="J14" s="21"/>
      <c r="K14" s="21"/>
      <c r="L14" s="21"/>
    </row>
  </sheetData>
  <mergeCells count="4">
    <mergeCell ref="A1:L1"/>
    <mergeCell ref="A2:L2"/>
    <mergeCell ref="A3:L3"/>
    <mergeCell ref="A14:L14"/>
  </mergeCells>
  <conditionalFormatting sqref="E6:E13">
    <cfRule type="expression" dxfId="68" priority="14">
      <formula>E6="Critical"</formula>
    </cfRule>
    <cfRule type="expression" dxfId="67" priority="15">
      <formula>E6="High"</formula>
    </cfRule>
  </conditionalFormatting>
  <conditionalFormatting sqref="L6:L13">
    <cfRule type="expression" dxfId="66" priority="1">
      <formula>L6="Complete"</formula>
    </cfRule>
    <cfRule type="expression" dxfId="65" priority="2">
      <formula>L6="On Track"</formula>
    </cfRule>
    <cfRule type="expression" dxfId="64" priority="3">
      <formula>L6="Approved"</formula>
    </cfRule>
    <cfRule type="expression" dxfId="63" priority="4">
      <formula>L6="Confirmed"</formula>
    </cfRule>
    <cfRule type="expression" dxfId="62" priority="5">
      <formula>L6="Available"</formula>
    </cfRule>
    <cfRule type="expression" dxfId="61" priority="6">
      <formula>L6="In Progress"</formula>
    </cfRule>
    <cfRule type="expression" dxfId="60" priority="7">
      <formula>L6="Watch"</formula>
    </cfRule>
    <cfRule type="expression" dxfId="59" priority="8">
      <formula>L6="Pending"</formula>
    </cfRule>
    <cfRule type="expression" dxfId="58" priority="9">
      <formula>L6="Open"</formula>
    </cfRule>
    <cfRule type="expression" dxfId="57" priority="10">
      <formula>L6="At Risk"</formula>
    </cfRule>
    <cfRule type="expression" dxfId="56" priority="11">
      <formula>L6="Critical"</formula>
    </cfRule>
    <cfRule type="expression" dxfId="55" priority="12">
      <formula>L6="Not Started"</formula>
    </cfRule>
    <cfRule type="expression" dxfId="54" priority="13">
      <formula>L6="In Review"</formula>
    </cfRule>
  </conditionalFormatting>
  <dataValidations count="1">
    <dataValidation type="list" sqref="L6:L13" xr:uid="{00000000-0002-0000-0500-000000000000}">
      <formula1>"Available,Confirmed,In Review,At Risk,Not Started"</formula1>
    </dataValidation>
  </dataValidations>
  <pageMargins left="0.7" right="0.7" top="0.75" bottom="0.75" header="0.3" footer="0.3"/>
  <pageSetup scale="48" orientation="landscape"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J13"/>
  <sheetViews>
    <sheetView showGridLines="0" workbookViewId="0">
      <selection sqref="A1:J13"/>
    </sheetView>
  </sheetViews>
  <sheetFormatPr baseColWidth="10" defaultColWidth="8.83203125" defaultRowHeight="15"/>
  <cols>
    <col min="1" max="1" width="12" customWidth="1"/>
    <col min="2" max="2" width="16" customWidth="1"/>
    <col min="3" max="3" width="30" customWidth="1"/>
    <col min="4" max="4" width="39" customWidth="1"/>
    <col min="5" max="5" width="20" customWidth="1"/>
    <col min="6" max="6" width="14" customWidth="1"/>
    <col min="7" max="7" width="16" customWidth="1"/>
    <col min="8" max="8" width="17" customWidth="1"/>
    <col min="9" max="9" width="37" customWidth="1"/>
    <col min="10" max="10" width="40" customWidth="1"/>
  </cols>
  <sheetData>
    <row r="1" spans="1:10" ht="55" customHeight="1">
      <c r="A1" s="18" t="s">
        <v>376</v>
      </c>
      <c r="B1" s="18"/>
      <c r="C1" s="18"/>
      <c r="D1" s="18"/>
      <c r="E1" s="18"/>
      <c r="F1" s="18"/>
      <c r="G1" s="18"/>
      <c r="H1" s="18"/>
      <c r="I1" s="18"/>
      <c r="J1" s="18"/>
    </row>
    <row r="2" spans="1:10" ht="39" customHeight="1">
      <c r="A2" s="22" t="s">
        <v>377</v>
      </c>
      <c r="B2" s="22"/>
      <c r="C2" s="22"/>
      <c r="D2" s="22"/>
      <c r="E2" s="22"/>
      <c r="F2" s="22"/>
      <c r="G2" s="22"/>
      <c r="H2" s="22"/>
      <c r="I2" s="22"/>
      <c r="J2" s="22"/>
    </row>
    <row r="3" spans="1:10" ht="9" customHeight="1">
      <c r="A3" s="6"/>
      <c r="B3" s="6"/>
      <c r="C3" s="6"/>
      <c r="D3" s="6"/>
      <c r="E3" s="6"/>
      <c r="F3" s="6"/>
      <c r="G3" s="6"/>
      <c r="H3" s="6"/>
      <c r="I3" s="6"/>
      <c r="J3" s="6"/>
    </row>
    <row r="4" spans="1:10">
      <c r="A4" s="11"/>
      <c r="B4" s="11"/>
      <c r="C4" s="11"/>
      <c r="D4" s="11"/>
      <c r="E4" s="11"/>
      <c r="F4" s="11"/>
      <c r="G4" s="11"/>
      <c r="H4" s="11"/>
      <c r="I4" s="11"/>
      <c r="J4" s="11"/>
    </row>
    <row r="5" spans="1:10" ht="81.75" customHeight="1">
      <c r="A5" s="5" t="s">
        <v>378</v>
      </c>
      <c r="B5" s="5" t="s">
        <v>35</v>
      </c>
      <c r="C5" s="5" t="s">
        <v>379</v>
      </c>
      <c r="D5" s="5" t="s">
        <v>380</v>
      </c>
      <c r="E5" s="5" t="s">
        <v>5</v>
      </c>
      <c r="F5" s="5" t="s">
        <v>381</v>
      </c>
      <c r="G5" s="5" t="s">
        <v>8</v>
      </c>
      <c r="H5" s="5" t="s">
        <v>217</v>
      </c>
      <c r="I5" s="5" t="s">
        <v>322</v>
      </c>
      <c r="J5" s="5" t="s">
        <v>382</v>
      </c>
    </row>
    <row r="6" spans="1:10" ht="81.75" customHeight="1">
      <c r="A6" s="8" t="s">
        <v>383</v>
      </c>
      <c r="B6" s="8" t="s">
        <v>229</v>
      </c>
      <c r="C6" s="8" t="s">
        <v>384</v>
      </c>
      <c r="D6" s="8" t="s">
        <v>385</v>
      </c>
      <c r="E6" s="8" t="s">
        <v>269</v>
      </c>
      <c r="F6" s="8">
        <v>2</v>
      </c>
      <c r="G6" s="8" t="s">
        <v>0</v>
      </c>
      <c r="H6" s="8" t="s">
        <v>222</v>
      </c>
      <c r="I6" s="8" t="s">
        <v>386</v>
      </c>
      <c r="J6" s="8" t="s">
        <v>387</v>
      </c>
    </row>
    <row r="7" spans="1:10" ht="81.75" customHeight="1">
      <c r="A7" s="8" t="s">
        <v>388</v>
      </c>
      <c r="B7" s="8" t="s">
        <v>229</v>
      </c>
      <c r="C7" s="8" t="s">
        <v>389</v>
      </c>
      <c r="D7" s="8" t="s">
        <v>390</v>
      </c>
      <c r="E7" s="8" t="s">
        <v>391</v>
      </c>
      <c r="F7" s="8">
        <v>3</v>
      </c>
      <c r="G7" s="8" t="s">
        <v>2</v>
      </c>
      <c r="H7" s="8" t="s">
        <v>235</v>
      </c>
      <c r="I7" s="8" t="s">
        <v>392</v>
      </c>
      <c r="J7" s="8" t="s">
        <v>393</v>
      </c>
    </row>
    <row r="8" spans="1:10" ht="81.75" customHeight="1">
      <c r="A8" s="8" t="s">
        <v>394</v>
      </c>
      <c r="B8" s="8" t="s">
        <v>241</v>
      </c>
      <c r="C8" s="8" t="s">
        <v>395</v>
      </c>
      <c r="D8" s="8" t="s">
        <v>396</v>
      </c>
      <c r="E8" s="8" t="s">
        <v>60</v>
      </c>
      <c r="F8" s="8">
        <v>6</v>
      </c>
      <c r="G8" s="8" t="s">
        <v>1</v>
      </c>
      <c r="H8" s="8" t="s">
        <v>226</v>
      </c>
      <c r="I8" s="8" t="s">
        <v>397</v>
      </c>
      <c r="J8" s="8" t="s">
        <v>398</v>
      </c>
    </row>
    <row r="9" spans="1:10" ht="81.75" customHeight="1">
      <c r="A9" s="8" t="s">
        <v>399</v>
      </c>
      <c r="B9" s="8" t="s">
        <v>241</v>
      </c>
      <c r="C9" s="8" t="s">
        <v>400</v>
      </c>
      <c r="D9" s="8" t="s">
        <v>401</v>
      </c>
      <c r="E9" s="8" t="s">
        <v>250</v>
      </c>
      <c r="F9" s="8">
        <v>8</v>
      </c>
      <c r="G9" s="8" t="s">
        <v>1</v>
      </c>
      <c r="H9" s="8" t="s">
        <v>226</v>
      </c>
      <c r="I9" s="8" t="s">
        <v>402</v>
      </c>
      <c r="J9" s="8" t="s">
        <v>403</v>
      </c>
    </row>
    <row r="10" spans="1:10" ht="81.75" customHeight="1">
      <c r="A10" s="8" t="s">
        <v>404</v>
      </c>
      <c r="B10" s="8" t="s">
        <v>253</v>
      </c>
      <c r="C10" s="8" t="s">
        <v>405</v>
      </c>
      <c r="D10" s="8" t="s">
        <v>406</v>
      </c>
      <c r="E10" s="8" t="s">
        <v>43</v>
      </c>
      <c r="F10" s="8">
        <v>10</v>
      </c>
      <c r="G10" s="8" t="s">
        <v>3</v>
      </c>
      <c r="H10" s="8" t="s">
        <v>235</v>
      </c>
      <c r="I10" s="8" t="s">
        <v>407</v>
      </c>
      <c r="J10" s="8" t="s">
        <v>408</v>
      </c>
    </row>
    <row r="11" spans="1:10" ht="81.75" customHeight="1">
      <c r="A11" s="8" t="s">
        <v>409</v>
      </c>
      <c r="B11" s="8" t="s">
        <v>260</v>
      </c>
      <c r="C11" s="8" t="s">
        <v>410</v>
      </c>
      <c r="D11" s="8" t="s">
        <v>411</v>
      </c>
      <c r="E11" s="8" t="s">
        <v>391</v>
      </c>
      <c r="F11" s="8">
        <v>11</v>
      </c>
      <c r="G11" s="8" t="s">
        <v>3</v>
      </c>
      <c r="H11" s="8" t="s">
        <v>235</v>
      </c>
      <c r="I11" s="8" t="s">
        <v>412</v>
      </c>
      <c r="J11" s="8" t="s">
        <v>413</v>
      </c>
    </row>
    <row r="12" spans="1:10" ht="81.75" customHeight="1">
      <c r="A12" s="8" t="s">
        <v>414</v>
      </c>
      <c r="B12" s="8" t="s">
        <v>267</v>
      </c>
      <c r="C12" s="8" t="s">
        <v>415</v>
      </c>
      <c r="D12" s="8" t="s">
        <v>416</v>
      </c>
      <c r="E12" s="8" t="s">
        <v>269</v>
      </c>
      <c r="F12" s="8">
        <v>12</v>
      </c>
      <c r="G12" s="8" t="s">
        <v>3</v>
      </c>
      <c r="H12" s="8" t="s">
        <v>342</v>
      </c>
      <c r="I12" s="8" t="s">
        <v>417</v>
      </c>
      <c r="J12" s="8" t="s">
        <v>418</v>
      </c>
    </row>
    <row r="13" spans="1:10" ht="32" customHeight="1">
      <c r="A13" s="21" t="s">
        <v>114</v>
      </c>
      <c r="B13" s="21"/>
      <c r="C13" s="21"/>
      <c r="D13" s="21"/>
      <c r="E13" s="21"/>
      <c r="F13" s="21"/>
      <c r="G13" s="21"/>
      <c r="H13" s="21"/>
      <c r="I13" s="21"/>
      <c r="J13" s="21"/>
    </row>
  </sheetData>
  <mergeCells count="4">
    <mergeCell ref="A1:J1"/>
    <mergeCell ref="A2:J2"/>
    <mergeCell ref="A3:J3"/>
    <mergeCell ref="A13:J13"/>
  </mergeCells>
  <conditionalFormatting sqref="G6:G12">
    <cfRule type="expression" dxfId="53" priority="1">
      <formula>G6="Complete"</formula>
    </cfRule>
    <cfRule type="expression" dxfId="52" priority="2">
      <formula>G6="On Track"</formula>
    </cfRule>
    <cfRule type="expression" dxfId="51" priority="3">
      <formula>G6="Approved"</formula>
    </cfRule>
    <cfRule type="expression" dxfId="50" priority="4">
      <formula>G6="Confirmed"</formula>
    </cfRule>
    <cfRule type="expression" dxfId="49" priority="5">
      <formula>G6="Available"</formula>
    </cfRule>
    <cfRule type="expression" dxfId="48" priority="6">
      <formula>G6="In Progress"</formula>
    </cfRule>
    <cfRule type="expression" dxfId="47" priority="7">
      <formula>G6="Watch"</formula>
    </cfRule>
    <cfRule type="expression" dxfId="46" priority="8">
      <formula>G6="Pending"</formula>
    </cfRule>
    <cfRule type="expression" dxfId="45" priority="9">
      <formula>G6="Open"</formula>
    </cfRule>
    <cfRule type="expression" dxfId="44" priority="10">
      <formula>G6="At Risk"</formula>
    </cfRule>
    <cfRule type="expression" dxfId="43" priority="11">
      <formula>G6="Critical"</formula>
    </cfRule>
    <cfRule type="expression" dxfId="42" priority="12">
      <formula>G6="Not Started"</formula>
    </cfRule>
    <cfRule type="expression" dxfId="41" priority="13">
      <formula>G6="In Review"</formula>
    </cfRule>
  </conditionalFormatting>
  <dataValidations count="1">
    <dataValidation type="list" sqref="G6:G12" xr:uid="{00000000-0002-0000-0600-000000000000}">
      <formula1>"Complete,In Progress,At Risk,Not Started"</formula1>
    </dataValidation>
  </dataValidations>
  <pageMargins left="0.7" right="0.7" top="0.75" bottom="0.75" header="0.3" footer="0.3"/>
  <pageSetup scale="47" orientation="landscape"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I16"/>
  <sheetViews>
    <sheetView showGridLines="0" workbookViewId="0">
      <selection sqref="A1:I16"/>
    </sheetView>
  </sheetViews>
  <sheetFormatPr baseColWidth="10" defaultColWidth="8.83203125" defaultRowHeight="15"/>
  <cols>
    <col min="1" max="1" width="10" customWidth="1"/>
    <col min="2" max="2" width="14" customWidth="1"/>
    <col min="3" max="3" width="48" customWidth="1"/>
    <col min="4" max="4" width="22" customWidth="1"/>
    <col min="5" max="5" width="34" customWidth="1"/>
    <col min="6" max="6" width="13" customWidth="1"/>
    <col min="7" max="8" width="14" customWidth="1"/>
    <col min="9" max="9" width="48" customWidth="1"/>
  </cols>
  <sheetData>
    <row r="1" spans="1:9" ht="55" customHeight="1">
      <c r="A1" s="18" t="s">
        <v>419</v>
      </c>
      <c r="B1" s="18"/>
      <c r="C1" s="18"/>
      <c r="D1" s="18"/>
      <c r="E1" s="18"/>
      <c r="F1" s="18"/>
      <c r="G1" s="18"/>
      <c r="H1" s="18"/>
      <c r="I1" s="18"/>
    </row>
    <row r="2" spans="1:9" ht="39" customHeight="1">
      <c r="A2" s="22" t="s">
        <v>420</v>
      </c>
      <c r="B2" s="22"/>
      <c r="C2" s="22"/>
      <c r="D2" s="22"/>
      <c r="E2" s="22"/>
      <c r="F2" s="22"/>
      <c r="G2" s="22"/>
      <c r="H2" s="22"/>
      <c r="I2" s="22"/>
    </row>
    <row r="3" spans="1:9" ht="9" customHeight="1">
      <c r="A3" s="6"/>
      <c r="B3" s="6"/>
      <c r="C3" s="6"/>
      <c r="D3" s="6"/>
      <c r="E3" s="6"/>
      <c r="F3" s="6"/>
      <c r="G3" s="6"/>
      <c r="H3" s="6"/>
      <c r="I3" s="6"/>
    </row>
    <row r="4" spans="1:9">
      <c r="A4" s="11"/>
      <c r="B4" s="11"/>
      <c r="C4" s="11"/>
      <c r="D4" s="11"/>
      <c r="E4" s="11"/>
      <c r="F4" s="11"/>
      <c r="G4" s="11"/>
      <c r="H4" s="11"/>
      <c r="I4" s="11"/>
    </row>
    <row r="5" spans="1:9" ht="76.25" customHeight="1">
      <c r="A5" s="5" t="s">
        <v>421</v>
      </c>
      <c r="B5" s="5" t="s">
        <v>422</v>
      </c>
      <c r="C5" s="5" t="s">
        <v>423</v>
      </c>
      <c r="D5" s="5" t="s">
        <v>5</v>
      </c>
      <c r="E5" s="5" t="s">
        <v>424</v>
      </c>
      <c r="F5" s="5" t="s">
        <v>425</v>
      </c>
      <c r="G5" s="5" t="s">
        <v>426</v>
      </c>
      <c r="H5" s="5" t="s">
        <v>8</v>
      </c>
      <c r="I5" s="5" t="s">
        <v>427</v>
      </c>
    </row>
    <row r="6" spans="1:9" ht="76.25" customHeight="1">
      <c r="A6" s="8" t="s">
        <v>428</v>
      </c>
      <c r="B6" s="8" t="s">
        <v>429</v>
      </c>
      <c r="C6" s="8" t="s">
        <v>430</v>
      </c>
      <c r="D6" s="8" t="s">
        <v>43</v>
      </c>
      <c r="E6" s="8" t="s">
        <v>431</v>
      </c>
      <c r="F6" s="8" t="s">
        <v>235</v>
      </c>
      <c r="G6" s="8" t="s">
        <v>349</v>
      </c>
      <c r="H6" s="8" t="s">
        <v>432</v>
      </c>
      <c r="I6" s="8" t="s">
        <v>433</v>
      </c>
    </row>
    <row r="7" spans="1:9" ht="76.25" customHeight="1">
      <c r="A7" s="8" t="s">
        <v>434</v>
      </c>
      <c r="B7" s="8" t="s">
        <v>429</v>
      </c>
      <c r="C7" s="8" t="s">
        <v>435</v>
      </c>
      <c r="D7" s="8" t="s">
        <v>173</v>
      </c>
      <c r="E7" s="8" t="s">
        <v>436</v>
      </c>
      <c r="F7" s="8" t="s">
        <v>235</v>
      </c>
      <c r="G7" s="8" t="s">
        <v>355</v>
      </c>
      <c r="H7" s="8" t="s">
        <v>432</v>
      </c>
      <c r="I7" s="8" t="s">
        <v>437</v>
      </c>
    </row>
    <row r="8" spans="1:9" ht="76.25" customHeight="1">
      <c r="A8" s="8" t="s">
        <v>438</v>
      </c>
      <c r="B8" s="8" t="s">
        <v>429</v>
      </c>
      <c r="C8" s="8" t="s">
        <v>439</v>
      </c>
      <c r="D8" s="8" t="s">
        <v>234</v>
      </c>
      <c r="E8" s="8" t="s">
        <v>440</v>
      </c>
      <c r="F8" s="8" t="s">
        <v>342</v>
      </c>
      <c r="G8" s="8" t="s">
        <v>349</v>
      </c>
      <c r="H8" s="8" t="s">
        <v>2</v>
      </c>
      <c r="I8" s="8" t="s">
        <v>441</v>
      </c>
    </row>
    <row r="9" spans="1:9" ht="76.25" customHeight="1">
      <c r="A9" s="8" t="s">
        <v>442</v>
      </c>
      <c r="B9" s="8" t="s">
        <v>443</v>
      </c>
      <c r="C9" s="8" t="s">
        <v>444</v>
      </c>
      <c r="D9" s="8" t="s">
        <v>173</v>
      </c>
      <c r="E9" s="8" t="s">
        <v>445</v>
      </c>
      <c r="F9" s="8" t="s">
        <v>226</v>
      </c>
      <c r="G9" s="8" t="s">
        <v>335</v>
      </c>
      <c r="H9" s="8" t="s">
        <v>432</v>
      </c>
      <c r="I9" s="8" t="s">
        <v>446</v>
      </c>
    </row>
    <row r="10" spans="1:9" ht="76.25" customHeight="1">
      <c r="A10" s="8" t="s">
        <v>447</v>
      </c>
      <c r="B10" s="8" t="s">
        <v>443</v>
      </c>
      <c r="C10" s="8" t="s">
        <v>448</v>
      </c>
      <c r="D10" s="8" t="s">
        <v>449</v>
      </c>
      <c r="E10" s="8" t="s">
        <v>450</v>
      </c>
      <c r="F10" s="8" t="s">
        <v>235</v>
      </c>
      <c r="G10" s="8" t="s">
        <v>349</v>
      </c>
      <c r="H10" s="8" t="s">
        <v>432</v>
      </c>
      <c r="I10" s="8" t="s">
        <v>451</v>
      </c>
    </row>
    <row r="11" spans="1:9" ht="76.25" customHeight="1">
      <c r="A11" s="8" t="s">
        <v>452</v>
      </c>
      <c r="B11" s="8" t="s">
        <v>453</v>
      </c>
      <c r="C11" s="8" t="s">
        <v>454</v>
      </c>
      <c r="D11" s="8" t="s">
        <v>43</v>
      </c>
      <c r="E11" s="8" t="s">
        <v>455</v>
      </c>
      <c r="F11" s="8" t="s">
        <v>342</v>
      </c>
      <c r="G11" s="8" t="s">
        <v>335</v>
      </c>
      <c r="H11" s="8" t="s">
        <v>2</v>
      </c>
      <c r="I11" s="8" t="s">
        <v>456</v>
      </c>
    </row>
    <row r="12" spans="1:9" ht="76.25" customHeight="1">
      <c r="A12" s="8" t="s">
        <v>457</v>
      </c>
      <c r="B12" s="8" t="s">
        <v>453</v>
      </c>
      <c r="C12" s="8" t="s">
        <v>458</v>
      </c>
      <c r="D12" s="8" t="s">
        <v>356</v>
      </c>
      <c r="E12" s="8" t="s">
        <v>459</v>
      </c>
      <c r="F12" s="8" t="s">
        <v>235</v>
      </c>
      <c r="G12" s="8" t="s">
        <v>355</v>
      </c>
      <c r="H12" s="8" t="s">
        <v>432</v>
      </c>
      <c r="I12" s="8" t="s">
        <v>460</v>
      </c>
    </row>
    <row r="13" spans="1:9" ht="76.25" customHeight="1">
      <c r="A13" s="8" t="s">
        <v>461</v>
      </c>
      <c r="B13" s="8" t="s">
        <v>462</v>
      </c>
      <c r="C13" s="8" t="s">
        <v>463</v>
      </c>
      <c r="D13" s="8" t="s">
        <v>43</v>
      </c>
      <c r="E13" s="8" t="s">
        <v>464</v>
      </c>
      <c r="F13" s="8" t="s">
        <v>235</v>
      </c>
      <c r="G13" s="8" t="s">
        <v>327</v>
      </c>
      <c r="H13" s="8" t="s">
        <v>465</v>
      </c>
      <c r="I13" s="8" t="s">
        <v>466</v>
      </c>
    </row>
    <row r="14" spans="1:9" ht="76.25" customHeight="1">
      <c r="A14" s="8" t="s">
        <v>467</v>
      </c>
      <c r="B14" s="8" t="s">
        <v>462</v>
      </c>
      <c r="C14" s="8" t="s">
        <v>468</v>
      </c>
      <c r="D14" s="8" t="s">
        <v>391</v>
      </c>
      <c r="E14" s="8" t="s">
        <v>469</v>
      </c>
      <c r="F14" s="8" t="s">
        <v>235</v>
      </c>
      <c r="G14" s="8" t="s">
        <v>349</v>
      </c>
      <c r="H14" s="8" t="s">
        <v>465</v>
      </c>
      <c r="I14" s="8" t="s">
        <v>470</v>
      </c>
    </row>
    <row r="15" spans="1:9" ht="76.25" customHeight="1">
      <c r="A15" s="8" t="s">
        <v>471</v>
      </c>
      <c r="B15" s="8" t="s">
        <v>472</v>
      </c>
      <c r="C15" s="8" t="s">
        <v>473</v>
      </c>
      <c r="D15" s="8" t="s">
        <v>43</v>
      </c>
      <c r="E15" s="8" t="s">
        <v>474</v>
      </c>
      <c r="F15" s="8" t="s">
        <v>342</v>
      </c>
      <c r="G15" s="8" t="s">
        <v>374</v>
      </c>
      <c r="H15" s="8" t="s">
        <v>432</v>
      </c>
      <c r="I15" s="8" t="s">
        <v>475</v>
      </c>
    </row>
    <row r="16" spans="1:9" ht="32" customHeight="1">
      <c r="A16" s="21" t="s">
        <v>114</v>
      </c>
      <c r="B16" s="21"/>
      <c r="C16" s="21"/>
      <c r="D16" s="21"/>
      <c r="E16" s="21"/>
      <c r="F16" s="21"/>
      <c r="G16" s="21"/>
      <c r="H16" s="21"/>
      <c r="I16" s="21"/>
    </row>
  </sheetData>
  <mergeCells count="4">
    <mergeCell ref="A1:I1"/>
    <mergeCell ref="A2:I2"/>
    <mergeCell ref="A3:I3"/>
    <mergeCell ref="A16:I16"/>
  </mergeCells>
  <conditionalFormatting sqref="F6:F15">
    <cfRule type="expression" dxfId="40" priority="14">
      <formula>F6="Critical"</formula>
    </cfRule>
    <cfRule type="expression" dxfId="39" priority="15">
      <formula>F6="High"</formula>
    </cfRule>
  </conditionalFormatting>
  <conditionalFormatting sqref="H6:H15">
    <cfRule type="expression" dxfId="38" priority="1">
      <formula>H6="Complete"</formula>
    </cfRule>
    <cfRule type="expression" dxfId="37" priority="2">
      <formula>H6="On Track"</formula>
    </cfRule>
    <cfRule type="expression" dxfId="36" priority="3">
      <formula>H6="Approved"</formula>
    </cfRule>
    <cfRule type="expression" dxfId="35" priority="4">
      <formula>H6="Confirmed"</formula>
    </cfRule>
    <cfRule type="expression" dxfId="34" priority="5">
      <formula>H6="Available"</formula>
    </cfRule>
    <cfRule type="expression" dxfId="33" priority="6">
      <formula>H6="In Progress"</formula>
    </cfRule>
    <cfRule type="expression" dxfId="32" priority="7">
      <formula>H6="Watch"</formula>
    </cfRule>
    <cfRule type="expression" dxfId="31" priority="8">
      <formula>H6="Pending"</formula>
    </cfRule>
    <cfRule type="expression" dxfId="30" priority="9">
      <formula>H6="Open"</formula>
    </cfRule>
    <cfRule type="expression" dxfId="29" priority="10">
      <formula>H6="At Risk"</formula>
    </cfRule>
    <cfRule type="expression" dxfId="28" priority="11">
      <formula>H6="Critical"</formula>
    </cfRule>
    <cfRule type="expression" dxfId="27" priority="12">
      <formula>H6="Not Started"</formula>
    </cfRule>
    <cfRule type="expression" dxfId="26" priority="13">
      <formula>H6="In Review"</formula>
    </cfRule>
  </conditionalFormatting>
  <dataValidations count="1">
    <dataValidation type="list" sqref="H6:H15" xr:uid="{00000000-0002-0000-0700-000000000000}">
      <formula1>"Open,At Risk,Approved,Complete"</formula1>
    </dataValidation>
  </dataValidations>
  <pageMargins left="0.7" right="0.7" top="0.75" bottom="0.75" header="0.3" footer="0.3"/>
  <pageSetup scale="51" orientation="landscape"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H22"/>
  <sheetViews>
    <sheetView showGridLines="0" workbookViewId="0">
      <selection sqref="A1:H22"/>
    </sheetView>
  </sheetViews>
  <sheetFormatPr baseColWidth="10" defaultColWidth="8.83203125" defaultRowHeight="15"/>
  <cols>
    <col min="1" max="1" width="18" customWidth="1"/>
    <col min="2" max="2" width="20" customWidth="1"/>
    <col min="3" max="3" width="14" customWidth="1"/>
    <col min="4" max="4" width="40" customWidth="1"/>
    <col min="5" max="5" width="16" customWidth="1"/>
    <col min="6" max="6" width="34" customWidth="1"/>
    <col min="7" max="8" width="30" customWidth="1"/>
  </cols>
  <sheetData>
    <row r="1" spans="1:8" ht="55" customHeight="1">
      <c r="A1" s="18" t="s">
        <v>476</v>
      </c>
      <c r="B1" s="18"/>
      <c r="C1" s="18"/>
      <c r="D1" s="18"/>
      <c r="E1" s="18"/>
      <c r="F1" s="18"/>
      <c r="G1" s="18"/>
      <c r="H1" s="18"/>
    </row>
    <row r="2" spans="1:8" ht="39" customHeight="1">
      <c r="A2" s="22" t="s">
        <v>477</v>
      </c>
      <c r="B2" s="22"/>
      <c r="C2" s="22"/>
      <c r="D2" s="22"/>
      <c r="E2" s="22"/>
      <c r="F2" s="22"/>
      <c r="G2" s="22"/>
      <c r="H2" s="22"/>
    </row>
    <row r="3" spans="1:8" ht="9" customHeight="1">
      <c r="A3" s="6"/>
      <c r="B3" s="6"/>
      <c r="C3" s="6"/>
      <c r="D3" s="6"/>
      <c r="E3" s="6"/>
      <c r="F3" s="6"/>
      <c r="G3" s="6"/>
      <c r="H3" s="6"/>
    </row>
    <row r="4" spans="1:8">
      <c r="A4" s="11"/>
      <c r="B4" s="11"/>
      <c r="C4" s="11"/>
      <c r="D4" s="11"/>
      <c r="E4" s="11"/>
      <c r="F4" s="11"/>
      <c r="G4" s="11"/>
      <c r="H4" s="11"/>
    </row>
    <row r="5" spans="1:8" ht="39" customHeight="1">
      <c r="A5" s="7" t="s">
        <v>478</v>
      </c>
      <c r="B5" s="7"/>
      <c r="C5" s="7"/>
      <c r="D5" s="7"/>
      <c r="E5" s="7"/>
      <c r="F5" s="7"/>
      <c r="G5" s="7"/>
      <c r="H5" s="7"/>
    </row>
    <row r="6" spans="1:8" ht="92.25" customHeight="1">
      <c r="A6" s="5" t="s">
        <v>479</v>
      </c>
      <c r="B6" s="5" t="s">
        <v>480</v>
      </c>
      <c r="C6" s="5" t="s">
        <v>481</v>
      </c>
      <c r="D6" s="5" t="s">
        <v>482</v>
      </c>
      <c r="E6" s="5" t="s">
        <v>483</v>
      </c>
      <c r="F6" s="5" t="s">
        <v>5</v>
      </c>
      <c r="G6" s="5" t="s">
        <v>484</v>
      </c>
      <c r="H6" s="5" t="s">
        <v>8</v>
      </c>
    </row>
    <row r="7" spans="1:8" ht="92.25" customHeight="1">
      <c r="A7" s="8" t="s">
        <v>485</v>
      </c>
      <c r="B7" s="8" t="s">
        <v>486</v>
      </c>
      <c r="C7" s="8" t="s">
        <v>487</v>
      </c>
      <c r="D7" s="8" t="s">
        <v>488</v>
      </c>
      <c r="E7" s="8" t="s">
        <v>489</v>
      </c>
      <c r="F7" s="8" t="s">
        <v>43</v>
      </c>
      <c r="G7" s="8" t="s">
        <v>490</v>
      </c>
      <c r="H7" s="8" t="s">
        <v>0</v>
      </c>
    </row>
    <row r="8" spans="1:8" ht="92.25" customHeight="1">
      <c r="A8" s="8" t="s">
        <v>491</v>
      </c>
      <c r="B8" s="8" t="s">
        <v>492</v>
      </c>
      <c r="C8" s="8" t="s">
        <v>493</v>
      </c>
      <c r="D8" s="8" t="s">
        <v>494</v>
      </c>
      <c r="E8" s="8" t="s">
        <v>495</v>
      </c>
      <c r="F8" s="8" t="s">
        <v>234</v>
      </c>
      <c r="G8" s="8" t="s">
        <v>496</v>
      </c>
      <c r="H8" s="8" t="s">
        <v>1</v>
      </c>
    </row>
    <row r="9" spans="1:8" ht="92.25" customHeight="1">
      <c r="A9" s="8" t="s">
        <v>497</v>
      </c>
      <c r="B9" s="8" t="s">
        <v>498</v>
      </c>
      <c r="C9" s="8" t="s">
        <v>499</v>
      </c>
      <c r="D9" s="8" t="s">
        <v>500</v>
      </c>
      <c r="E9" s="8" t="s">
        <v>501</v>
      </c>
      <c r="F9" s="8" t="s">
        <v>60</v>
      </c>
      <c r="G9" s="8" t="s">
        <v>502</v>
      </c>
      <c r="H9" s="8" t="s">
        <v>1</v>
      </c>
    </row>
    <row r="10" spans="1:8" ht="92.25" customHeight="1">
      <c r="A10" s="8" t="s">
        <v>503</v>
      </c>
      <c r="B10" s="8" t="s">
        <v>67</v>
      </c>
      <c r="C10" s="8" t="s">
        <v>504</v>
      </c>
      <c r="D10" s="8" t="s">
        <v>505</v>
      </c>
      <c r="E10" s="8" t="s">
        <v>506</v>
      </c>
      <c r="F10" s="8" t="s">
        <v>43</v>
      </c>
      <c r="G10" s="8" t="s">
        <v>507</v>
      </c>
      <c r="H10" s="8" t="s">
        <v>3</v>
      </c>
    </row>
    <row r="11" spans="1:8" ht="92.25" customHeight="1">
      <c r="A11" s="8" t="s">
        <v>508</v>
      </c>
      <c r="B11" s="8" t="s">
        <v>509</v>
      </c>
      <c r="C11" s="8" t="s">
        <v>510</v>
      </c>
      <c r="D11" s="8" t="s">
        <v>511</v>
      </c>
      <c r="E11" s="8" t="s">
        <v>512</v>
      </c>
      <c r="F11" s="8" t="s">
        <v>43</v>
      </c>
      <c r="G11" s="8" t="s">
        <v>513</v>
      </c>
      <c r="H11" s="8" t="s">
        <v>0</v>
      </c>
    </row>
    <row r="12" spans="1:8">
      <c r="A12" s="11"/>
      <c r="B12" s="11"/>
      <c r="C12" s="11"/>
      <c r="D12" s="11"/>
      <c r="E12" s="11"/>
      <c r="F12" s="11"/>
      <c r="G12" s="11"/>
      <c r="H12" s="11"/>
    </row>
    <row r="13" spans="1:8">
      <c r="A13" s="11"/>
      <c r="B13" s="11"/>
      <c r="C13" s="11"/>
      <c r="D13" s="11"/>
      <c r="E13" s="11"/>
      <c r="F13" s="11"/>
      <c r="G13" s="11"/>
      <c r="H13" s="11"/>
    </row>
    <row r="14" spans="1:8" ht="39" customHeight="1">
      <c r="A14" s="7" t="s">
        <v>4</v>
      </c>
      <c r="B14" s="7"/>
      <c r="C14" s="7"/>
      <c r="D14" s="7"/>
      <c r="E14" s="7"/>
      <c r="F14" s="7"/>
      <c r="G14" s="7"/>
      <c r="H14" s="7"/>
    </row>
    <row r="15" spans="1:8" ht="74.75" customHeight="1">
      <c r="A15" s="5" t="s">
        <v>4</v>
      </c>
      <c r="B15" s="5" t="s">
        <v>5</v>
      </c>
      <c r="C15" s="5" t="s">
        <v>6</v>
      </c>
      <c r="D15" s="5" t="s">
        <v>7</v>
      </c>
      <c r="E15" s="5" t="s">
        <v>8</v>
      </c>
      <c r="F15" s="5" t="s">
        <v>9</v>
      </c>
      <c r="G15" s="5" t="s">
        <v>10</v>
      </c>
      <c r="H15" s="5" t="s">
        <v>11</v>
      </c>
    </row>
    <row r="16" spans="1:8" ht="74.75" customHeight="1">
      <c r="A16" s="8" t="s">
        <v>514</v>
      </c>
      <c r="B16" s="8" t="s">
        <v>5</v>
      </c>
      <c r="C16" s="8" t="s">
        <v>6</v>
      </c>
      <c r="D16" s="8" t="s">
        <v>7</v>
      </c>
      <c r="E16" s="8" t="s">
        <v>8</v>
      </c>
      <c r="F16" s="8" t="s">
        <v>9</v>
      </c>
      <c r="G16" s="8" t="s">
        <v>10</v>
      </c>
      <c r="H16" s="8" t="s">
        <v>11</v>
      </c>
    </row>
    <row r="17" spans="1:8" ht="74.75" customHeight="1">
      <c r="A17" s="8" t="s">
        <v>515</v>
      </c>
      <c r="B17" s="8" t="s">
        <v>43</v>
      </c>
      <c r="C17" s="8" t="s">
        <v>374</v>
      </c>
      <c r="D17" s="8" t="s">
        <v>516</v>
      </c>
      <c r="E17" s="8" t="s">
        <v>3</v>
      </c>
      <c r="F17" s="8" t="s">
        <v>517</v>
      </c>
      <c r="G17" s="8" t="s">
        <v>518</v>
      </c>
      <c r="H17" s="8" t="s">
        <v>519</v>
      </c>
    </row>
    <row r="18" spans="1:8" ht="74.75" customHeight="1">
      <c r="A18" s="8" t="s">
        <v>520</v>
      </c>
      <c r="B18" s="8" t="s">
        <v>521</v>
      </c>
      <c r="C18" s="8" t="s">
        <v>374</v>
      </c>
      <c r="D18" s="8" t="s">
        <v>522</v>
      </c>
      <c r="E18" s="8" t="s">
        <v>3</v>
      </c>
      <c r="F18" s="8" t="s">
        <v>523</v>
      </c>
      <c r="G18" s="8" t="s">
        <v>524</v>
      </c>
      <c r="H18" s="8" t="s">
        <v>525</v>
      </c>
    </row>
    <row r="19" spans="1:8" ht="74.75" customHeight="1">
      <c r="A19" s="8" t="s">
        <v>526</v>
      </c>
      <c r="B19" s="8" t="s">
        <v>43</v>
      </c>
      <c r="C19" s="8" t="s">
        <v>374</v>
      </c>
      <c r="D19" s="8" t="s">
        <v>527</v>
      </c>
      <c r="E19" s="8" t="s">
        <v>3</v>
      </c>
      <c r="F19" s="8" t="s">
        <v>528</v>
      </c>
      <c r="G19" s="8" t="s">
        <v>529</v>
      </c>
      <c r="H19" s="8" t="s">
        <v>530</v>
      </c>
    </row>
    <row r="20" spans="1:8" ht="74.75" customHeight="1">
      <c r="A20" s="8" t="s">
        <v>531</v>
      </c>
      <c r="B20" s="8" t="s">
        <v>269</v>
      </c>
      <c r="C20" s="8" t="s">
        <v>374</v>
      </c>
      <c r="D20" s="8" t="s">
        <v>532</v>
      </c>
      <c r="E20" s="8" t="s">
        <v>3</v>
      </c>
      <c r="F20" s="8" t="s">
        <v>533</v>
      </c>
      <c r="G20" s="8" t="s">
        <v>534</v>
      </c>
      <c r="H20" s="8" t="s">
        <v>535</v>
      </c>
    </row>
    <row r="21" spans="1:8" ht="25" customHeight="1">
      <c r="A21" s="11" t="s">
        <v>536</v>
      </c>
      <c r="B21" s="11" t="s">
        <v>128</v>
      </c>
      <c r="C21" s="11" t="s">
        <v>374</v>
      </c>
      <c r="D21" s="11" t="s">
        <v>537</v>
      </c>
      <c r="E21" s="11" t="s">
        <v>3</v>
      </c>
      <c r="F21" s="11" t="s">
        <v>538</v>
      </c>
      <c r="G21" s="11" t="s">
        <v>539</v>
      </c>
      <c r="H21" s="11" t="s">
        <v>540</v>
      </c>
    </row>
    <row r="22" spans="1:8" ht="32" customHeight="1">
      <c r="A22" s="21" t="s">
        <v>114</v>
      </c>
      <c r="B22" s="21"/>
      <c r="C22" s="21"/>
      <c r="D22" s="21"/>
      <c r="E22" s="21"/>
      <c r="F22" s="21"/>
      <c r="G22" s="21"/>
      <c r="H22" s="21"/>
    </row>
  </sheetData>
  <mergeCells count="6">
    <mergeCell ref="A1:H1"/>
    <mergeCell ref="A2:H2"/>
    <mergeCell ref="A3:H3"/>
    <mergeCell ref="A22:H22"/>
    <mergeCell ref="A5:H5"/>
    <mergeCell ref="A14:H14"/>
  </mergeCells>
  <conditionalFormatting sqref="E16:E20">
    <cfRule type="expression" dxfId="25" priority="14">
      <formula>E16="Complete"</formula>
    </cfRule>
    <cfRule type="expression" dxfId="24" priority="15">
      <formula>E16="On Track"</formula>
    </cfRule>
    <cfRule type="expression" dxfId="23" priority="16">
      <formula>E16="Approved"</formula>
    </cfRule>
    <cfRule type="expression" dxfId="22" priority="17">
      <formula>E16="Confirmed"</formula>
    </cfRule>
    <cfRule type="expression" dxfId="21" priority="18">
      <formula>E16="Available"</formula>
    </cfRule>
    <cfRule type="expression" dxfId="20" priority="19">
      <formula>E16="In Progress"</formula>
    </cfRule>
    <cfRule type="expression" dxfId="19" priority="20">
      <formula>E16="Watch"</formula>
    </cfRule>
    <cfRule type="expression" dxfId="18" priority="21">
      <formula>E16="Pending"</formula>
    </cfRule>
    <cfRule type="expression" dxfId="17" priority="22">
      <formula>E16="Open"</formula>
    </cfRule>
    <cfRule type="expression" dxfId="16" priority="23">
      <formula>E16="At Risk"</formula>
    </cfRule>
    <cfRule type="expression" dxfId="15" priority="24">
      <formula>E16="Critical"</formula>
    </cfRule>
    <cfRule type="expression" dxfId="14" priority="25">
      <formula>E16="Not Started"</formula>
    </cfRule>
    <cfRule type="expression" dxfId="13" priority="26">
      <formula>E16="In Review"</formula>
    </cfRule>
  </conditionalFormatting>
  <conditionalFormatting sqref="H7:H11">
    <cfRule type="expression" dxfId="12" priority="1">
      <formula>H7="Complete"</formula>
    </cfRule>
    <cfRule type="expression" dxfId="11" priority="2">
      <formula>H7="On Track"</formula>
    </cfRule>
    <cfRule type="expression" dxfId="10" priority="3">
      <formula>H7="Approved"</formula>
    </cfRule>
    <cfRule type="expression" dxfId="9" priority="4">
      <formula>H7="Confirmed"</formula>
    </cfRule>
    <cfRule type="expression" dxfId="8" priority="5">
      <formula>H7="Available"</formula>
    </cfRule>
    <cfRule type="expression" dxfId="7" priority="6">
      <formula>H7="In Progress"</formula>
    </cfRule>
    <cfRule type="expression" dxfId="6" priority="7">
      <formula>H7="Watch"</formula>
    </cfRule>
    <cfRule type="expression" dxfId="5" priority="8">
      <formula>H7="Pending"</formula>
    </cfRule>
    <cfRule type="expression" dxfId="4" priority="9">
      <formula>H7="Open"</formula>
    </cfRule>
    <cfRule type="expression" dxfId="3" priority="10">
      <formula>H7="At Risk"</formula>
    </cfRule>
    <cfRule type="expression" dxfId="2" priority="11">
      <formula>H7="Critical"</formula>
    </cfRule>
    <cfRule type="expression" dxfId="1" priority="12">
      <formula>H7="Not Started"</formula>
    </cfRule>
    <cfRule type="expression" dxfId="0" priority="13">
      <formula>H7="In Review"</formula>
    </cfRule>
  </conditionalFormatting>
  <dataValidations count="1">
    <dataValidation type="list" sqref="H7:H11 E16:E20" xr:uid="{00000000-0002-0000-0800-000000000000}">
      <formula1>"Complete,In Progress,Not Started"</formula1>
    </dataValidation>
  </dataValidations>
  <pageMargins left="0.7" right="0.7" top="0.75" bottom="0.75" header="0.3" footer="0.3"/>
  <pageSetup scale="42"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9</vt:i4>
      </vt:variant>
      <vt:variant>
        <vt:lpstr>Named Ranges</vt:lpstr>
      </vt:variant>
      <vt:variant>
        <vt:i4>9</vt:i4>
      </vt:variant>
    </vt:vector>
  </HeadingPairs>
  <TitlesOfParts>
    <vt:vector size="18" baseType="lpstr">
      <vt:lpstr>Project Dashboard</vt:lpstr>
      <vt:lpstr>Project Charter</vt:lpstr>
      <vt:lpstr>Work Packages</vt:lpstr>
      <vt:lpstr>Master Schedule</vt:lpstr>
      <vt:lpstr>Budget &amp; Forecast</vt:lpstr>
      <vt:lpstr>Procurement &amp; Dependencies</vt:lpstr>
      <vt:lpstr>Quality Gates</vt:lpstr>
      <vt:lpstr>RAIDD</vt:lpstr>
      <vt:lpstr>Lessons Learned</vt:lpstr>
      <vt:lpstr>'Budget &amp; Forecast'!Print_Area</vt:lpstr>
      <vt:lpstr>'Lessons Learned'!Print_Area</vt:lpstr>
      <vt:lpstr>'Master Schedule'!Print_Area</vt:lpstr>
      <vt:lpstr>'Procurement &amp; Dependencies'!Print_Area</vt:lpstr>
      <vt:lpstr>'Project Charter'!Print_Area</vt:lpstr>
      <vt:lpstr>'Project Dashboard'!Print_Area</vt:lpstr>
      <vt:lpstr>'Quality Gates'!Print_Area</vt:lpstr>
      <vt:lpstr>RAIDD!Print_Area</vt:lpstr>
      <vt:lpstr>'Work Packages'!Print_Area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Lakes, Joshua</cp:lastModifiedBy>
  <dcterms:created xsi:type="dcterms:W3CDTF">2026-07-06T21:52:41Z</dcterms:created>
  <dcterms:modified xsi:type="dcterms:W3CDTF">2026-07-06T22:01:47Z</dcterms:modified>
</cp:coreProperties>
</file>